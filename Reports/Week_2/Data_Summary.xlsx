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<sst xmlns="http://schemas.openxmlformats.org/spreadsheetml/2006/main" count="484" uniqueCount="159">
  <si>
    <t xml:space="preserve">Rank</t>
  </si>
  <si>
    <t xml:space="preserve">Name</t>
  </si>
  <si>
    <t xml:space="preserve">Platform</t>
  </si>
  <si>
    <t xml:space="preserve">Year</t>
  </si>
  <si>
    <t xml:space="preserve">Genre</t>
  </si>
  <si>
    <t xml:space="preserve">Publisher</t>
  </si>
  <si>
    <t xml:space="preserve">NA_Sales</t>
  </si>
  <si>
    <t xml:space="preserve">EU_Sales</t>
  </si>
  <si>
    <t xml:space="preserve">JP_Sales</t>
  </si>
  <si>
    <t xml:space="preserve">Other_Sales</t>
  </si>
  <si>
    <t xml:space="preserve">Global_Sales</t>
  </si>
  <si>
    <t xml:space="preserve">Wii Sports</t>
  </si>
  <si>
    <t xml:space="preserve">Wii</t>
  </si>
  <si>
    <t xml:space="preserve">Sports</t>
  </si>
  <si>
    <t xml:space="preserve">Nintendo</t>
  </si>
  <si>
    <t xml:space="preserve">Super Mario Bros.</t>
  </si>
  <si>
    <t xml:space="preserve">NES</t>
  </si>
  <si>
    <t xml:space="preserve">Mario Kart Wii</t>
  </si>
  <si>
    <t xml:space="preserve">Racing</t>
  </si>
  <si>
    <t xml:space="preserve">Wii Sports Resort</t>
  </si>
  <si>
    <t xml:space="preserve">Pokemon Red/Pokemon Blue</t>
  </si>
  <si>
    <t xml:space="preserve">GB</t>
  </si>
  <si>
    <t xml:space="preserve">Role-Playing</t>
  </si>
  <si>
    <t xml:space="preserve">Tetris</t>
  </si>
  <si>
    <t xml:space="preserve">Puzzle</t>
  </si>
  <si>
    <t xml:space="preserve">New Super Mario Bros.</t>
  </si>
  <si>
    <t xml:space="preserve">DS</t>
  </si>
  <si>
    <t xml:space="preserve">Wii Play</t>
  </si>
  <si>
    <t xml:space="preserve">Misc</t>
  </si>
  <si>
    <t xml:space="preserve">New Super Mario Bros. Wii</t>
  </si>
  <si>
    <t xml:space="preserve">Duck Hunt</t>
  </si>
  <si>
    <t xml:space="preserve">Shooter</t>
  </si>
  <si>
    <t xml:space="preserve">Nintendogs</t>
  </si>
  <si>
    <t xml:space="preserve">Simulation</t>
  </si>
  <si>
    <t xml:space="preserve">Mario Kart DS</t>
  </si>
  <si>
    <t xml:space="preserve">Pokemon Gold/Pokemon Silver</t>
  </si>
  <si>
    <t xml:space="preserve">Wii Fit</t>
  </si>
  <si>
    <t xml:space="preserve">Wii Fit Plus</t>
  </si>
  <si>
    <t xml:space="preserve">Kinect Adventures!</t>
  </si>
  <si>
    <t xml:space="preserve">X360</t>
  </si>
  <si>
    <t xml:space="preserve">Microsoft Game Studios</t>
  </si>
  <si>
    <t xml:space="preserve">Grand Theft Auto V</t>
  </si>
  <si>
    <t xml:space="preserve">PS3</t>
  </si>
  <si>
    <t xml:space="preserve">Action</t>
  </si>
  <si>
    <t xml:space="preserve">Take-Two Interactive</t>
  </si>
  <si>
    <t xml:space="preserve">Grand Theft Auto: San Andreas</t>
  </si>
  <si>
    <t xml:space="preserve">PS2</t>
  </si>
  <si>
    <t xml:space="preserve">Super Mario World</t>
  </si>
  <si>
    <t xml:space="preserve">SNES</t>
  </si>
  <si>
    <t xml:space="preserve">Brain Age: Train Your Brain in Minutes a Day</t>
  </si>
  <si>
    <t xml:space="preserve">Pokemon Diamond/Pokemon Pearl</t>
  </si>
  <si>
    <t xml:space="preserve">Super Mario Land</t>
  </si>
  <si>
    <t xml:space="preserve">Super Mario Bros. 3</t>
  </si>
  <si>
    <t xml:space="preserve">Grand Theft Auto: Vice City</t>
  </si>
  <si>
    <t xml:space="preserve">Pokemon Ruby/Pokemon Sapphire</t>
  </si>
  <si>
    <t xml:space="preserve">GBA</t>
  </si>
  <si>
    <t xml:space="preserve">Pokemon Black/Pokemon White</t>
  </si>
  <si>
    <t xml:space="preserve">Brain Age 2: More Training in Minutes a Day</t>
  </si>
  <si>
    <t xml:space="preserve">Gran Turismo 3: A-Spec</t>
  </si>
  <si>
    <t xml:space="preserve">Sony Computer Entertainment</t>
  </si>
  <si>
    <t xml:space="preserve">Call of Duty: Modern Warfare 3</t>
  </si>
  <si>
    <t xml:space="preserve">Activision</t>
  </si>
  <si>
    <t xml:space="preserve">Pokémon Yellow: Special Pikachu Edition</t>
  </si>
  <si>
    <t xml:space="preserve">Call of Duty: Black Ops</t>
  </si>
  <si>
    <t xml:space="preserve">Pokemon X/Pokemon Y</t>
  </si>
  <si>
    <t xml:space="preserve">3DS</t>
  </si>
  <si>
    <t xml:space="preserve">Call of Duty: Black Ops 3</t>
  </si>
  <si>
    <t xml:space="preserve">PS4</t>
  </si>
  <si>
    <t xml:space="preserve">Call of Duty: Black Ops II</t>
  </si>
  <si>
    <t xml:space="preserve">Call of Duty: Modern Warfare 2</t>
  </si>
  <si>
    <t xml:space="preserve">Grand Theft Auto III</t>
  </si>
  <si>
    <t xml:space="preserve">Super Smash Bros. Brawl</t>
  </si>
  <si>
    <t xml:space="preserve">Fighting</t>
  </si>
  <si>
    <t xml:space="preserve">Animal Crossing: Wild World</t>
  </si>
  <si>
    <t xml:space="preserve">Mario Kart 7</t>
  </si>
  <si>
    <t xml:space="preserve">Halo 3</t>
  </si>
  <si>
    <t xml:space="preserve">Pokemon HeartGold/Pokemon SoulSilver</t>
  </si>
  <si>
    <t xml:space="preserve">Super Mario 64</t>
  </si>
  <si>
    <t xml:space="preserve">N64</t>
  </si>
  <si>
    <t xml:space="preserve">Gran Turismo 4</t>
  </si>
  <si>
    <t xml:space="preserve">Super Mario Galaxy</t>
  </si>
  <si>
    <t xml:space="preserve">Pokemon Omega Ruby/Pokemon Alpha Sapphire</t>
  </si>
  <si>
    <t xml:space="preserve">Super Mario Land 2: 6 Golden Coins</t>
  </si>
  <si>
    <t xml:space="preserve">Adventure</t>
  </si>
  <si>
    <t xml:space="preserve">Grand Theft Auto IV</t>
  </si>
  <si>
    <t xml:space="preserve">Gran Turismo</t>
  </si>
  <si>
    <t xml:space="preserve">PS</t>
  </si>
  <si>
    <t xml:space="preserve">Super Mario 3D Land</t>
  </si>
  <si>
    <t xml:space="preserve">Gran Turismo 5</t>
  </si>
  <si>
    <t xml:space="preserve">Super Mario All-Stars</t>
  </si>
  <si>
    <t xml:space="preserve">Pokemon FireRed/Pokemon LeafGreen</t>
  </si>
  <si>
    <t xml:space="preserve">Just Dance 3</t>
  </si>
  <si>
    <t xml:space="preserve">Ubisoft</t>
  </si>
  <si>
    <t xml:space="preserve">Call of Duty: Ghosts</t>
  </si>
  <si>
    <t xml:space="preserve">Halo: Reach</t>
  </si>
  <si>
    <t xml:space="preserve">Mario Kart 64</t>
  </si>
  <si>
    <t xml:space="preserve">New Super Mario Bros. 2</t>
  </si>
  <si>
    <t xml:space="preserve">Halo 4</t>
  </si>
  <si>
    <t xml:space="preserve">Final Fantasy VII</t>
  </si>
  <si>
    <t xml:space="preserve">Just Dance 2</t>
  </si>
  <si>
    <t xml:space="preserve">Gran Turismo 2</t>
  </si>
  <si>
    <t xml:space="preserve">Call of Duty 4: Modern Warfare</t>
  </si>
  <si>
    <t xml:space="preserve">Donkey Kong Country</t>
  </si>
  <si>
    <t xml:space="preserve">Minecraft</t>
  </si>
  <si>
    <t xml:space="preserve">Animal Crossing: New Leaf</t>
  </si>
  <si>
    <t xml:space="preserve">Mario Party DS</t>
  </si>
  <si>
    <t xml:space="preserve">The Elder Scrolls V: Skyrim</t>
  </si>
  <si>
    <t xml:space="preserve">Bethesda Softworks</t>
  </si>
  <si>
    <t xml:space="preserve">Super Mario Kart</t>
  </si>
  <si>
    <t xml:space="preserve">FIFA 16</t>
  </si>
  <si>
    <t xml:space="preserve">Electronic Arts</t>
  </si>
  <si>
    <t xml:space="preserve">Wii Party</t>
  </si>
  <si>
    <t xml:space="preserve">Halo 2</t>
  </si>
  <si>
    <t xml:space="preserve">XB</t>
  </si>
  <si>
    <t xml:space="preserve">Mario Party 8</t>
  </si>
  <si>
    <t xml:space="preserve">Pokemon Black 2/Pokemon White 2</t>
  </si>
  <si>
    <t xml:space="preserve">FIFA Soccer 13</t>
  </si>
  <si>
    <t xml:space="preserve">The Sims 3</t>
  </si>
  <si>
    <t xml:space="preserve">PC</t>
  </si>
  <si>
    <t xml:space="preserve">GoldenEye 007</t>
  </si>
  <si>
    <t xml:space="preserve">Mario &amp; Sonic at the Olympic Games</t>
  </si>
  <si>
    <t xml:space="preserve">Sega</t>
  </si>
  <si>
    <t xml:space="preserve">Final Fantasy X</t>
  </si>
  <si>
    <t xml:space="preserve">Final Fantasy VIII</t>
  </si>
  <si>
    <t xml:space="preserve">SquareSoft</t>
  </si>
  <si>
    <t xml:space="preserve">Pokémon Platinum Version</t>
  </si>
  <si>
    <t xml:space="preserve">Pac-Man</t>
  </si>
  <si>
    <t xml:space="preserve">2600</t>
  </si>
  <si>
    <t xml:space="preserve">Atari</t>
  </si>
  <si>
    <t xml:space="preserve">Grand Theft Auto: Liberty City Stories</t>
  </si>
  <si>
    <t xml:space="preserve">PSP</t>
  </si>
  <si>
    <t xml:space="preserve">Super Mario Galaxy 2</t>
  </si>
  <si>
    <t xml:space="preserve">Star Wars Battlefront (2015)</t>
  </si>
  <si>
    <t xml:space="preserve">Call of Duty: Advanced Warfare</t>
  </si>
  <si>
    <t xml:space="preserve">The Legend of Zelda: Ocarina of Time</t>
  </si>
  <si>
    <t xml:space="preserve">Crash Bandicoot 2: Cortex Strikes Back</t>
  </si>
  <si>
    <t xml:space="preserve">Super Mario Bros. 2</t>
  </si>
  <si>
    <t xml:space="preserve">Super Smash Bros. for Wii U and 3DS</t>
  </si>
  <si>
    <t xml:space="preserve">Call of Duty: World at War</t>
  </si>
  <si>
    <t xml:space="preserve">Battlefield 3</t>
  </si>
  <si>
    <t xml:space="preserve">Data Summary — Video Game Sales (Top 100)</t>
  </si>
  <si>
    <t xml:space="preserve">Sumber: Dataset sheet | Dibuat otomatis dari 100 baris data</t>
  </si>
  <si>
    <t xml:space="preserve">Ringkasan Umum</t>
  </si>
  <si>
    <t xml:space="preserve">Jumlah Baris Data</t>
  </si>
  <si>
    <t xml:space="preserve">Jumlah Kolom</t>
  </si>
  <si>
    <t xml:space="preserve">Missing Values</t>
  </si>
  <si>
    <t xml:space="preserve">Judul Game Muncul &gt;1x (Multi-Platform)</t>
  </si>
  <si>
    <t xml:space="preserve">Tahun Rilis Tertua</t>
  </si>
  <si>
    <t xml:space="preserve">Tahun Rilis Terbaru</t>
  </si>
  <si>
    <t xml:space="preserve">Total Penjualan per Region (juta unit)</t>
  </si>
  <si>
    <t xml:space="preserve">Rata-rata Global Sales</t>
  </si>
  <si>
    <t xml:space="preserve">Global Sales Tertinggi</t>
  </si>
  <si>
    <t xml:space="preserve">Global Sales Terendah</t>
  </si>
  <si>
    <t xml:space="preserve">Top 5 Game Berdasarkan Global Sales</t>
  </si>
  <si>
    <t xml:space="preserve">Distribusi Genre (Jumlah Game &amp; Total Global Sales)</t>
  </si>
  <si>
    <t xml:space="preserve">Jumlah Game</t>
  </si>
  <si>
    <t xml:space="preserve">Total Global Sales</t>
  </si>
  <si>
    <t xml:space="preserve">Distribusi Platform (Jumlah Game &amp; Total Global Sales)</t>
  </si>
  <si>
    <t xml:space="preserve">Top 10 Publisher (Jumlah Game &amp; Total Global Sales)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</si>
</sst>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08080"/>
      <rgbColor rgb="FF93A9CE"/>
      <rgbColor rgb="FFAB4744"/>
      <rgbColor rgb="FFF9F9F9"/>
      <rgbColor rgb="FFD9E1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A99BBD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Global Sales per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Summary!D34</c:f>
              <c:strCache>
                <c:ptCount val="1"/>
                <c:pt idx="0">
                  <c:v>Total Global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Summary!$B$35:$B$45</c:f>
              <c:strCache>
                <c:ptCount val="11"/>
                <c:pt idx="0">
                  <c:v>Shooter</c:v>
                </c:pt>
                <c:pt idx="1">
                  <c:v>Platform</c:v>
                </c:pt>
                <c:pt idx="2">
                  <c:v>Role-Playing</c:v>
                </c:pt>
                <c:pt idx="3">
                  <c:v>Action</c:v>
                </c:pt>
                <c:pt idx="4">
                  <c:v>Racing</c:v>
                </c:pt>
                <c:pt idx="5">
                  <c:v>Misc</c:v>
                </c:pt>
                <c:pt idx="6">
                  <c:v>Sports</c:v>
                </c:pt>
                <c:pt idx="7">
                  <c:v>Simulation</c:v>
                </c:pt>
                <c:pt idx="8">
                  <c:v>Puzzle</c:v>
                </c:pt>
                <c:pt idx="9">
                  <c:v>Fighting</c:v>
                </c:pt>
                <c:pt idx="10">
                  <c:v>Adventure</c:v>
                </c:pt>
              </c:strCache>
            </c:strRef>
          </c:cat>
          <c:val>
            <c:numRef>
              <c:f>Summary!$D$35:$D$45</c:f>
              <c:numCache>
                <c:formatCode>#,##0.00</c:formatCode>
                <c:ptCount val="11"/>
                <c:pt idx="0">
                  <c:v>257.56</c:v>
                </c:pt>
                <c:pt idx="1">
                  <c:v>251.92</c:v>
                </c:pt>
                <c:pt idx="2">
                  <c:v>205.45</c:v>
                </c:pt>
                <c:pt idx="3">
                  <c:v>156.87</c:v>
                </c:pt>
                <c:pt idx="4">
                  <c:v>147.93</c:v>
                </c:pt>
                <c:pt idx="5">
                  <c:v>125.97</c:v>
                </c:pt>
                <c:pt idx="6">
                  <c:v>177.01</c:v>
                </c:pt>
                <c:pt idx="7">
                  <c:v>54.23</c:v>
                </c:pt>
                <c:pt idx="8">
                  <c:v>53.37</c:v>
                </c:pt>
                <c:pt idx="9">
                  <c:v>20.49</c:v>
                </c:pt>
                <c:pt idx="10">
                  <c:v>11.18</c:v>
                </c:pt>
              </c:numCache>
            </c:numRef>
          </c:val>
        </c:ser>
        <c:gapWidth val="150"/>
        <c:overlap val="0"/>
        <c:axId val="17867671"/>
        <c:axId val="15616034"/>
      </c:barChart>
      <c:catAx>
        <c:axId val="178676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16034"/>
        <c:crosses val="autoZero"/>
        <c:auto val="1"/>
        <c:lblAlgn val="ctr"/>
        <c:lblOffset val="100"/>
        <c:noMultiLvlLbl val="0"/>
      </c:catAx>
      <c:valAx>
        <c:axId val="15616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Global Sales (juta unit)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676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Global Sales per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Summary!D49</c:f>
              <c:strCache>
                <c:ptCount val="1"/>
                <c:pt idx="0">
                  <c:v>Total Global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Summary!$B$50:$B$66</c:f>
              <c:strCache>
                <c:ptCount val="17"/>
                <c:pt idx="0">
                  <c:v>X360</c:v>
                </c:pt>
                <c:pt idx="1">
                  <c:v>Wii</c:v>
                </c:pt>
                <c:pt idx="2">
                  <c:v>DS</c:v>
                </c:pt>
                <c:pt idx="3">
                  <c:v>PS3</c:v>
                </c:pt>
                <c:pt idx="4">
                  <c:v>3DS</c:v>
                </c:pt>
                <c:pt idx="5">
                  <c:v>GB</c:v>
                </c:pt>
                <c:pt idx="6">
                  <c:v>PS2</c:v>
                </c:pt>
                <c:pt idx="7">
                  <c:v>PS4</c:v>
                </c:pt>
                <c:pt idx="8">
                  <c:v>PS</c:v>
                </c:pt>
                <c:pt idx="9">
                  <c:v>NES</c:v>
                </c:pt>
                <c:pt idx="10">
                  <c:v>SNES</c:v>
                </c:pt>
                <c:pt idx="11">
                  <c:v>N64</c:v>
                </c:pt>
                <c:pt idx="12">
                  <c:v>GBA</c:v>
                </c:pt>
                <c:pt idx="13">
                  <c:v>XB</c:v>
                </c:pt>
                <c:pt idx="14">
                  <c:v>PC</c:v>
                </c:pt>
                <c:pt idx="15">
                  <c:v>2600</c:v>
                </c:pt>
                <c:pt idx="16">
                  <c:v>PSP</c:v>
                </c:pt>
              </c:strCache>
            </c:strRef>
          </c:cat>
          <c:val>
            <c:numRef>
              <c:f>Summary!$D$50:$D$66</c:f>
              <c:numCache>
                <c:formatCode>#,##0.00</c:formatCode>
                <c:ptCount val="17"/>
                <c:pt idx="0">
                  <c:v>189.92</c:v>
                </c:pt>
                <c:pt idx="1">
                  <c:v>330.92</c:v>
                </c:pt>
                <c:pt idx="2">
                  <c:v>207.17</c:v>
                </c:pt>
                <c:pt idx="3">
                  <c:v>111.48</c:v>
                </c:pt>
                <c:pt idx="4">
                  <c:v>75.04</c:v>
                </c:pt>
                <c:pt idx="5">
                  <c:v>128.69</c:v>
                </c:pt>
                <c:pt idx="6">
                  <c:v>84.75</c:v>
                </c:pt>
                <c:pt idx="7">
                  <c:v>49.98</c:v>
                </c:pt>
                <c:pt idx="8">
                  <c:v>45.6</c:v>
                </c:pt>
                <c:pt idx="9">
                  <c:v>93.29</c:v>
                </c:pt>
                <c:pt idx="10">
                  <c:v>49.22</c:v>
                </c:pt>
                <c:pt idx="11">
                  <c:v>37.45</c:v>
                </c:pt>
                <c:pt idx="12">
                  <c:v>26.34</c:v>
                </c:pt>
                <c:pt idx="13">
                  <c:v>8.49</c:v>
                </c:pt>
                <c:pt idx="14">
                  <c:v>8.11</c:v>
                </c:pt>
                <c:pt idx="15">
                  <c:v>7.81</c:v>
                </c:pt>
                <c:pt idx="16">
                  <c:v>7.72</c:v>
                </c:pt>
              </c:numCache>
            </c:numRef>
          </c:val>
        </c:ser>
        <c:gapWidth val="150"/>
        <c:overlap val="0"/>
        <c:axId val="39562993"/>
        <c:axId val="71879585"/>
      </c:barChart>
      <c:catAx>
        <c:axId val="395629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9585"/>
        <c:crosses val="autoZero"/>
        <c:auto val="1"/>
        <c:lblAlgn val="ctr"/>
        <c:lblOffset val="100"/>
        <c:noMultiLvlLbl val="0"/>
      </c:catAx>
      <c:valAx>
        <c:axId val="71879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Global Sales (juta unit)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62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Publisher (Jumlah Game)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Summary!C70</c:f>
              <c:strCache>
                <c:ptCount val="1"/>
                <c:pt idx="0">
                  <c:v>Jumlah Game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Summary!$B$71:$B$80</c:f>
              <c:strCache>
                <c:ptCount val="10"/>
                <c:pt idx="0">
                  <c:v>Nintendo</c:v>
                </c:pt>
                <c:pt idx="1">
                  <c:v>Activision</c:v>
                </c:pt>
                <c:pt idx="2">
                  <c:v>Take-Two Interactive</c:v>
                </c:pt>
                <c:pt idx="3">
                  <c:v>Sony Computer Entertainment</c:v>
                </c:pt>
                <c:pt idx="4">
                  <c:v>Microsoft Game Studios</c:v>
                </c:pt>
                <c:pt idx="5">
                  <c:v>Electronic Arts</c:v>
                </c:pt>
                <c:pt idx="6">
                  <c:v>Ubisoft</c:v>
                </c:pt>
                <c:pt idx="7">
                  <c:v>Bethesda Softworks</c:v>
                </c:pt>
                <c:pt idx="8">
                  <c:v>Sega</c:v>
                </c:pt>
                <c:pt idx="9">
                  <c:v>SquareSoft</c:v>
                </c:pt>
              </c:strCache>
            </c:strRef>
          </c:cat>
          <c:val>
            <c:numRef>
              <c:f>Summary!$C$71:$C$80</c:f>
              <c:numCache>
                <c:formatCode>General</c:formatCode>
                <c:ptCount val="10"/>
                <c:pt idx="0">
                  <c:v>52</c:v>
                </c:pt>
                <c:pt idx="1">
                  <c:v>14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15</xdr:col>
      <xdr:colOff>256320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632088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131040</xdr:rowOff>
    </xdr:from>
    <xdr:to>
      <xdr:col>15</xdr:col>
      <xdr:colOff>256320</xdr:colOff>
      <xdr:row>35</xdr:row>
      <xdr:rowOff>153000</xdr:rowOff>
    </xdr:to>
    <xdr:graphicFrame>
      <xdr:nvGraphicFramePr>
        <xdr:cNvPr id="1" name="Chart 2"/>
        <xdr:cNvGraphicFramePr/>
      </xdr:nvGraphicFramePr>
      <xdr:xfrm>
        <a:off x="632088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37</xdr:row>
      <xdr:rowOff>130680</xdr:rowOff>
    </xdr:from>
    <xdr:to>
      <xdr:col>15</xdr:col>
      <xdr:colOff>256320</xdr:colOff>
      <xdr:row>54</xdr:row>
      <xdr:rowOff>131760</xdr:rowOff>
    </xdr:to>
    <xdr:graphicFrame>
      <xdr:nvGraphicFramePr>
        <xdr:cNvPr id="2" name="Chart 3"/>
        <xdr:cNvGraphicFramePr/>
      </xdr:nvGraphicFramePr>
      <xdr:xfrm>
        <a:off x="6320880" y="7238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n">
        <v>2006</v>
      </c>
      <c r="E2" s="2" t="s">
        <v>13</v>
      </c>
      <c r="F2" s="2" t="s">
        <v>14</v>
      </c>
      <c r="G2" s="3" t="n">
        <v>41.49</v>
      </c>
      <c r="H2" s="3" t="n">
        <v>29.02</v>
      </c>
      <c r="I2" s="3" t="n">
        <v>3.77</v>
      </c>
      <c r="J2" s="3" t="n">
        <v>8.46</v>
      </c>
      <c r="K2" s="3" t="n">
        <v>82.74</v>
      </c>
    </row>
    <row r="3" customFormat="false" ht="15" hidden="false" customHeight="false" outlineLevel="0" collapsed="false">
      <c r="A3" s="2" t="n">
        <v>2</v>
      </c>
      <c r="B3" s="2" t="s">
        <v>15</v>
      </c>
      <c r="C3" s="2" t="s">
        <v>16</v>
      </c>
      <c r="D3" s="2" t="n">
        <v>1985</v>
      </c>
      <c r="E3" s="2" t="s">
        <v>2</v>
      </c>
      <c r="F3" s="2" t="s">
        <v>14</v>
      </c>
      <c r="G3" s="3" t="n">
        <v>29.08</v>
      </c>
      <c r="H3" s="3" t="n">
        <v>3.58</v>
      </c>
      <c r="I3" s="3" t="n">
        <v>6.81</v>
      </c>
      <c r="J3" s="3" t="n">
        <v>0.77</v>
      </c>
      <c r="K3" s="3" t="n">
        <v>40.24</v>
      </c>
    </row>
    <row r="4" customFormat="false" ht="15" hidden="false" customHeight="false" outlineLevel="0" collapsed="false">
      <c r="A4" s="2" t="n">
        <v>3</v>
      </c>
      <c r="B4" s="2" t="s">
        <v>17</v>
      </c>
      <c r="C4" s="2" t="s">
        <v>12</v>
      </c>
      <c r="D4" s="2" t="n">
        <v>2008</v>
      </c>
      <c r="E4" s="2" t="s">
        <v>18</v>
      </c>
      <c r="F4" s="2" t="s">
        <v>14</v>
      </c>
      <c r="G4" s="3" t="n">
        <v>15.85</v>
      </c>
      <c r="H4" s="3" t="n">
        <v>12.88</v>
      </c>
      <c r="I4" s="3" t="n">
        <v>3.79</v>
      </c>
      <c r="J4" s="3" t="n">
        <v>3.31</v>
      </c>
      <c r="K4" s="3" t="n">
        <v>35.82</v>
      </c>
    </row>
    <row r="5" customFormat="false" ht="15" hidden="false" customHeight="false" outlineLevel="0" collapsed="false">
      <c r="A5" s="2" t="n">
        <v>4</v>
      </c>
      <c r="B5" s="2" t="s">
        <v>19</v>
      </c>
      <c r="C5" s="2" t="s">
        <v>12</v>
      </c>
      <c r="D5" s="2" t="n">
        <v>2009</v>
      </c>
      <c r="E5" s="2" t="s">
        <v>13</v>
      </c>
      <c r="F5" s="2" t="s">
        <v>14</v>
      </c>
      <c r="G5" s="3" t="n">
        <v>15.75</v>
      </c>
      <c r="H5" s="3" t="n">
        <v>11.01</v>
      </c>
      <c r="I5" s="3" t="n">
        <v>3.28</v>
      </c>
      <c r="J5" s="3" t="n">
        <v>2.96</v>
      </c>
      <c r="K5" s="3" t="n">
        <v>33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s">
        <v>21</v>
      </c>
      <c r="D6" s="2" t="n">
        <v>1996</v>
      </c>
      <c r="E6" s="2" t="s">
        <v>22</v>
      </c>
      <c r="F6" s="2" t="s">
        <v>14</v>
      </c>
      <c r="G6" s="3" t="n">
        <v>11.27</v>
      </c>
      <c r="H6" s="3" t="n">
        <v>8.89</v>
      </c>
      <c r="I6" s="3" t="n">
        <v>10.22</v>
      </c>
      <c r="J6" s="3" t="n">
        <v>1</v>
      </c>
      <c r="K6" s="3" t="n">
        <v>31.37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21</v>
      </c>
      <c r="D7" s="2" t="n">
        <v>1989</v>
      </c>
      <c r="E7" s="2" t="s">
        <v>24</v>
      </c>
      <c r="F7" s="2" t="s">
        <v>14</v>
      </c>
      <c r="G7" s="3" t="n">
        <v>23.2</v>
      </c>
      <c r="H7" s="3" t="n">
        <v>2.26</v>
      </c>
      <c r="I7" s="3" t="n">
        <v>4.22</v>
      </c>
      <c r="J7" s="3" t="n">
        <v>0.58</v>
      </c>
      <c r="K7" s="3" t="n">
        <v>30.26</v>
      </c>
    </row>
    <row r="8" customFormat="false" ht="15" hidden="false" customHeight="false" outlineLevel="0" collapsed="false">
      <c r="A8" s="2" t="n">
        <v>7</v>
      </c>
      <c r="B8" s="2" t="s">
        <v>25</v>
      </c>
      <c r="C8" s="2" t="s">
        <v>26</v>
      </c>
      <c r="D8" s="2" t="n">
        <v>2006</v>
      </c>
      <c r="E8" s="2" t="s">
        <v>2</v>
      </c>
      <c r="F8" s="2" t="s">
        <v>14</v>
      </c>
      <c r="G8" s="3" t="n">
        <v>11.38</v>
      </c>
      <c r="H8" s="3" t="n">
        <v>9.23</v>
      </c>
      <c r="I8" s="3" t="n">
        <v>6.5</v>
      </c>
      <c r="J8" s="3" t="n">
        <v>2.9</v>
      </c>
      <c r="K8" s="3" t="n">
        <v>30.01</v>
      </c>
    </row>
    <row r="9" customFormat="false" ht="15" hidden="false" customHeight="false" outlineLevel="0" collapsed="false">
      <c r="A9" s="2" t="n">
        <v>8</v>
      </c>
      <c r="B9" s="2" t="s">
        <v>27</v>
      </c>
      <c r="C9" s="2" t="s">
        <v>12</v>
      </c>
      <c r="D9" s="2" t="n">
        <v>2006</v>
      </c>
      <c r="E9" s="2" t="s">
        <v>28</v>
      </c>
      <c r="F9" s="2" t="s">
        <v>14</v>
      </c>
      <c r="G9" s="3" t="n">
        <v>14.03</v>
      </c>
      <c r="H9" s="3" t="n">
        <v>9.2</v>
      </c>
      <c r="I9" s="3" t="n">
        <v>2.93</v>
      </c>
      <c r="J9" s="3" t="n">
        <v>2.85</v>
      </c>
      <c r="K9" s="3" t="n">
        <v>29.02</v>
      </c>
    </row>
    <row r="10" customFormat="false" ht="15" hidden="false" customHeight="false" outlineLevel="0" collapsed="false">
      <c r="A10" s="2" t="n">
        <v>9</v>
      </c>
      <c r="B10" s="2" t="s">
        <v>29</v>
      </c>
      <c r="C10" s="2" t="s">
        <v>12</v>
      </c>
      <c r="D10" s="2" t="n">
        <v>2009</v>
      </c>
      <c r="E10" s="2" t="s">
        <v>2</v>
      </c>
      <c r="F10" s="2" t="s">
        <v>14</v>
      </c>
      <c r="G10" s="3" t="n">
        <v>14.59</v>
      </c>
      <c r="H10" s="3" t="n">
        <v>7.06</v>
      </c>
      <c r="I10" s="3" t="n">
        <v>4.7</v>
      </c>
      <c r="J10" s="3" t="n">
        <v>2.26</v>
      </c>
      <c r="K10" s="3" t="n">
        <v>28.62</v>
      </c>
    </row>
    <row r="11" customFormat="false" ht="15" hidden="false" customHeight="false" outlineLevel="0" collapsed="false">
      <c r="A11" s="2" t="n">
        <v>10</v>
      </c>
      <c r="B11" s="2" t="s">
        <v>30</v>
      </c>
      <c r="C11" s="2" t="s">
        <v>16</v>
      </c>
      <c r="D11" s="2" t="n">
        <v>1984</v>
      </c>
      <c r="E11" s="2" t="s">
        <v>31</v>
      </c>
      <c r="F11" s="2" t="s">
        <v>14</v>
      </c>
      <c r="G11" s="3" t="n">
        <v>26.93</v>
      </c>
      <c r="H11" s="3" t="n">
        <v>0.63</v>
      </c>
      <c r="I11" s="3" t="n">
        <v>0.28</v>
      </c>
      <c r="J11" s="3" t="n">
        <v>0.47</v>
      </c>
      <c r="K11" s="3" t="n">
        <v>28.31</v>
      </c>
    </row>
    <row r="12" customFormat="false" ht="15" hidden="false" customHeight="false" outlineLevel="0" collapsed="false">
      <c r="A12" s="2" t="n">
        <v>11</v>
      </c>
      <c r="B12" s="2" t="s">
        <v>32</v>
      </c>
      <c r="C12" s="2" t="s">
        <v>26</v>
      </c>
      <c r="D12" s="2" t="n">
        <v>2005</v>
      </c>
      <c r="E12" s="2" t="s">
        <v>33</v>
      </c>
      <c r="F12" s="2" t="s">
        <v>14</v>
      </c>
      <c r="G12" s="3" t="n">
        <v>9.07</v>
      </c>
      <c r="H12" s="3" t="n">
        <v>11</v>
      </c>
      <c r="I12" s="3" t="n">
        <v>1.93</v>
      </c>
      <c r="J12" s="3" t="n">
        <v>2.75</v>
      </c>
      <c r="K12" s="3" t="n">
        <v>24.76</v>
      </c>
    </row>
    <row r="13" customFormat="false" ht="15" hidden="false" customHeight="false" outlineLevel="0" collapsed="false">
      <c r="A13" s="2" t="n">
        <v>12</v>
      </c>
      <c r="B13" s="2" t="s">
        <v>34</v>
      </c>
      <c r="C13" s="2" t="s">
        <v>26</v>
      </c>
      <c r="D13" s="2" t="n">
        <v>2005</v>
      </c>
      <c r="E13" s="2" t="s">
        <v>18</v>
      </c>
      <c r="F13" s="2" t="s">
        <v>14</v>
      </c>
      <c r="G13" s="3" t="n">
        <v>9.81</v>
      </c>
      <c r="H13" s="3" t="n">
        <v>7.57</v>
      </c>
      <c r="I13" s="3" t="n">
        <v>4.13</v>
      </c>
      <c r="J13" s="3" t="n">
        <v>1.92</v>
      </c>
      <c r="K13" s="3" t="n">
        <v>23.42</v>
      </c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21</v>
      </c>
      <c r="D14" s="2" t="n">
        <v>1999</v>
      </c>
      <c r="E14" s="2" t="s">
        <v>22</v>
      </c>
      <c r="F14" s="2" t="s">
        <v>14</v>
      </c>
      <c r="G14" s="3" t="n">
        <v>9</v>
      </c>
      <c r="H14" s="3" t="n">
        <v>6.18</v>
      </c>
      <c r="I14" s="3" t="n">
        <v>7.2</v>
      </c>
      <c r="J14" s="3" t="n">
        <v>0.71</v>
      </c>
      <c r="K14" s="3" t="n">
        <v>23.1</v>
      </c>
    </row>
    <row r="15" customFormat="false" ht="15" hidden="false" customHeight="false" outlineLevel="0" collapsed="false">
      <c r="A15" s="2" t="n">
        <v>14</v>
      </c>
      <c r="B15" s="2" t="s">
        <v>36</v>
      </c>
      <c r="C15" s="2" t="s">
        <v>12</v>
      </c>
      <c r="D15" s="2" t="n">
        <v>2007</v>
      </c>
      <c r="E15" s="2" t="s">
        <v>13</v>
      </c>
      <c r="F15" s="2" t="s">
        <v>14</v>
      </c>
      <c r="G15" s="3" t="n">
        <v>8.94</v>
      </c>
      <c r="H15" s="3" t="n">
        <v>8.03</v>
      </c>
      <c r="I15" s="3" t="n">
        <v>3.6</v>
      </c>
      <c r="J15" s="3" t="n">
        <v>2.15</v>
      </c>
      <c r="K15" s="3" t="n">
        <v>22.72</v>
      </c>
    </row>
    <row r="16" customFormat="false" ht="15" hidden="false" customHeight="false" outlineLevel="0" collapsed="false">
      <c r="A16" s="2" t="n">
        <v>15</v>
      </c>
      <c r="B16" s="2" t="s">
        <v>37</v>
      </c>
      <c r="C16" s="2" t="s">
        <v>12</v>
      </c>
      <c r="D16" s="2" t="n">
        <v>2009</v>
      </c>
      <c r="E16" s="2" t="s">
        <v>13</v>
      </c>
      <c r="F16" s="2" t="s">
        <v>14</v>
      </c>
      <c r="G16" s="3" t="n">
        <v>9.09</v>
      </c>
      <c r="H16" s="3" t="n">
        <v>8.59</v>
      </c>
      <c r="I16" s="3" t="n">
        <v>2.53</v>
      </c>
      <c r="J16" s="3" t="n">
        <v>1.79</v>
      </c>
      <c r="K16" s="3" t="n">
        <v>22</v>
      </c>
    </row>
    <row r="17" customFormat="false" ht="15" hidden="false" customHeight="false" outlineLevel="0" collapsed="false">
      <c r="A17" s="2" t="n">
        <v>16</v>
      </c>
      <c r="B17" s="2" t="s">
        <v>38</v>
      </c>
      <c r="C17" s="2" t="s">
        <v>39</v>
      </c>
      <c r="D17" s="2" t="n">
        <v>2010</v>
      </c>
      <c r="E17" s="2" t="s">
        <v>28</v>
      </c>
      <c r="F17" s="2" t="s">
        <v>40</v>
      </c>
      <c r="G17" s="3" t="n">
        <v>14.97</v>
      </c>
      <c r="H17" s="3" t="n">
        <v>4.94</v>
      </c>
      <c r="I17" s="3" t="n">
        <v>0.24</v>
      </c>
      <c r="J17" s="3" t="n">
        <v>1.67</v>
      </c>
      <c r="K17" s="3" t="n">
        <v>21.82</v>
      </c>
    </row>
    <row r="18" customFormat="false" ht="15" hidden="false" customHeight="false" outlineLevel="0" collapsed="false">
      <c r="A18" s="2" t="n">
        <v>17</v>
      </c>
      <c r="B18" s="2" t="s">
        <v>41</v>
      </c>
      <c r="C18" s="2" t="s">
        <v>42</v>
      </c>
      <c r="D18" s="2" t="n">
        <v>2013</v>
      </c>
      <c r="E18" s="2" t="s">
        <v>43</v>
      </c>
      <c r="F18" s="2" t="s">
        <v>44</v>
      </c>
      <c r="G18" s="3" t="n">
        <v>7.01</v>
      </c>
      <c r="H18" s="3" t="n">
        <v>9.27</v>
      </c>
      <c r="I18" s="3" t="n">
        <v>0.97</v>
      </c>
      <c r="J18" s="3" t="n">
        <v>4.14</v>
      </c>
      <c r="K18" s="3" t="n">
        <v>21.4</v>
      </c>
    </row>
    <row r="19" customFormat="false" ht="15" hidden="false" customHeight="false" outlineLevel="0" collapsed="false">
      <c r="A19" s="2" t="n">
        <v>18</v>
      </c>
      <c r="B19" s="2" t="s">
        <v>45</v>
      </c>
      <c r="C19" s="2" t="s">
        <v>46</v>
      </c>
      <c r="D19" s="2" t="n">
        <v>2004</v>
      </c>
      <c r="E19" s="2" t="s">
        <v>43</v>
      </c>
      <c r="F19" s="2" t="s">
        <v>44</v>
      </c>
      <c r="G19" s="3" t="n">
        <v>9.43</v>
      </c>
      <c r="H19" s="3" t="n">
        <v>0.4</v>
      </c>
      <c r="I19" s="3" t="n">
        <v>0.41</v>
      </c>
      <c r="J19" s="3" t="n">
        <v>10.57</v>
      </c>
      <c r="K19" s="3" t="n">
        <v>20.81</v>
      </c>
    </row>
    <row r="20" customFormat="false" ht="15" hidden="false" customHeight="false" outlineLevel="0" collapsed="false">
      <c r="A20" s="2" t="n">
        <v>19</v>
      </c>
      <c r="B20" s="2" t="s">
        <v>47</v>
      </c>
      <c r="C20" s="2" t="s">
        <v>48</v>
      </c>
      <c r="D20" s="2" t="n">
        <v>1990</v>
      </c>
      <c r="E20" s="2" t="s">
        <v>2</v>
      </c>
      <c r="F20" s="2" t="s">
        <v>14</v>
      </c>
      <c r="G20" s="3" t="n">
        <v>12.78</v>
      </c>
      <c r="H20" s="3" t="n">
        <v>3.75</v>
      </c>
      <c r="I20" s="3" t="n">
        <v>3.54</v>
      </c>
      <c r="J20" s="3" t="n">
        <v>0.55</v>
      </c>
      <c r="K20" s="3" t="n">
        <v>20.61</v>
      </c>
    </row>
    <row r="21" customFormat="false" ht="15" hidden="false" customHeight="false" outlineLevel="0" collapsed="false">
      <c r="A21" s="2" t="n">
        <v>20</v>
      </c>
      <c r="B21" s="2" t="s">
        <v>49</v>
      </c>
      <c r="C21" s="2" t="s">
        <v>26</v>
      </c>
      <c r="D21" s="2" t="n">
        <v>2005</v>
      </c>
      <c r="E21" s="2" t="s">
        <v>28</v>
      </c>
      <c r="F21" s="2" t="s">
        <v>14</v>
      </c>
      <c r="G21" s="3" t="n">
        <v>4.75</v>
      </c>
      <c r="H21" s="3" t="n">
        <v>9.26</v>
      </c>
      <c r="I21" s="3" t="n">
        <v>4.16</v>
      </c>
      <c r="J21" s="3" t="n">
        <v>2.05</v>
      </c>
      <c r="K21" s="3" t="n">
        <v>20.22</v>
      </c>
    </row>
    <row r="22" customFormat="false" ht="15" hidden="false" customHeight="false" outlineLevel="0" collapsed="false">
      <c r="A22" s="2" t="n">
        <v>21</v>
      </c>
      <c r="B22" s="2" t="s">
        <v>50</v>
      </c>
      <c r="C22" s="2" t="s">
        <v>26</v>
      </c>
      <c r="D22" s="2" t="n">
        <v>2006</v>
      </c>
      <c r="E22" s="2" t="s">
        <v>22</v>
      </c>
      <c r="F22" s="2" t="s">
        <v>14</v>
      </c>
      <c r="G22" s="3" t="n">
        <v>6.42</v>
      </c>
      <c r="H22" s="3" t="n">
        <v>4.52</v>
      </c>
      <c r="I22" s="3" t="n">
        <v>6.04</v>
      </c>
      <c r="J22" s="3" t="n">
        <v>1.37</v>
      </c>
      <c r="K22" s="3" t="n">
        <v>18.36</v>
      </c>
    </row>
    <row r="23" customFormat="false" ht="15" hidden="false" customHeight="false" outlineLevel="0" collapsed="false">
      <c r="A23" s="2" t="n">
        <v>22</v>
      </c>
      <c r="B23" s="2" t="s">
        <v>51</v>
      </c>
      <c r="C23" s="2" t="s">
        <v>21</v>
      </c>
      <c r="D23" s="2" t="n">
        <v>1989</v>
      </c>
      <c r="E23" s="2" t="s">
        <v>2</v>
      </c>
      <c r="F23" s="2" t="s">
        <v>14</v>
      </c>
      <c r="G23" s="3" t="n">
        <v>10.83</v>
      </c>
      <c r="H23" s="3" t="n">
        <v>2.71</v>
      </c>
      <c r="I23" s="3" t="n">
        <v>4.18</v>
      </c>
      <c r="J23" s="3" t="n">
        <v>0.42</v>
      </c>
      <c r="K23" s="3" t="n">
        <v>18.14</v>
      </c>
    </row>
    <row r="24" customFormat="false" ht="15" hidden="false" customHeight="false" outlineLevel="0" collapsed="false">
      <c r="A24" s="2" t="n">
        <v>23</v>
      </c>
      <c r="B24" s="2" t="s">
        <v>52</v>
      </c>
      <c r="C24" s="2" t="s">
        <v>16</v>
      </c>
      <c r="D24" s="2" t="n">
        <v>1988</v>
      </c>
      <c r="E24" s="2" t="s">
        <v>2</v>
      </c>
      <c r="F24" s="2" t="s">
        <v>14</v>
      </c>
      <c r="G24" s="3" t="n">
        <v>9.54</v>
      </c>
      <c r="H24" s="3" t="n">
        <v>3.44</v>
      </c>
      <c r="I24" s="3" t="n">
        <v>3.84</v>
      </c>
      <c r="J24" s="3" t="n">
        <v>0.46</v>
      </c>
      <c r="K24" s="3" t="n">
        <v>17.28</v>
      </c>
    </row>
    <row r="25" customFormat="false" ht="15" hidden="false" customHeight="false" outlineLevel="0" collapsed="false">
      <c r="A25" s="2" t="n">
        <v>24</v>
      </c>
      <c r="B25" s="2" t="s">
        <v>41</v>
      </c>
      <c r="C25" s="2" t="s">
        <v>39</v>
      </c>
      <c r="D25" s="2" t="n">
        <v>2013</v>
      </c>
      <c r="E25" s="2" t="s">
        <v>43</v>
      </c>
      <c r="F25" s="2" t="s">
        <v>44</v>
      </c>
      <c r="G25" s="3" t="n">
        <v>9.63</v>
      </c>
      <c r="H25" s="3" t="n">
        <v>5.31</v>
      </c>
      <c r="I25" s="3" t="n">
        <v>0.06</v>
      </c>
      <c r="J25" s="3" t="n">
        <v>1.38</v>
      </c>
      <c r="K25" s="3" t="n">
        <v>16.38</v>
      </c>
    </row>
    <row r="26" customFormat="false" ht="15" hidden="false" customHeight="false" outlineLevel="0" collapsed="false">
      <c r="A26" s="2" t="n">
        <v>25</v>
      </c>
      <c r="B26" s="2" t="s">
        <v>53</v>
      </c>
      <c r="C26" s="2" t="s">
        <v>46</v>
      </c>
      <c r="D26" s="2" t="n">
        <v>2002</v>
      </c>
      <c r="E26" s="2" t="s">
        <v>43</v>
      </c>
      <c r="F26" s="2" t="s">
        <v>44</v>
      </c>
      <c r="G26" s="3" t="n">
        <v>8.41</v>
      </c>
      <c r="H26" s="3" t="n">
        <v>5.49</v>
      </c>
      <c r="I26" s="3" t="n">
        <v>0.47</v>
      </c>
      <c r="J26" s="3" t="n">
        <v>1.78</v>
      </c>
      <c r="K26" s="3" t="n">
        <v>16.15</v>
      </c>
    </row>
    <row r="27" customFormat="false" ht="15" hidden="false" customHeight="false" outlineLevel="0" collapsed="false">
      <c r="A27" s="2" t="n">
        <v>26</v>
      </c>
      <c r="B27" s="2" t="s">
        <v>54</v>
      </c>
      <c r="C27" s="2" t="s">
        <v>55</v>
      </c>
      <c r="D27" s="2" t="n">
        <v>2002</v>
      </c>
      <c r="E27" s="2" t="s">
        <v>22</v>
      </c>
      <c r="F27" s="2" t="s">
        <v>14</v>
      </c>
      <c r="G27" s="3" t="n">
        <v>6.06</v>
      </c>
      <c r="H27" s="3" t="n">
        <v>3.9</v>
      </c>
      <c r="I27" s="3" t="n">
        <v>5.38</v>
      </c>
      <c r="J27" s="3" t="n">
        <v>0.5</v>
      </c>
      <c r="K27" s="3" t="n">
        <v>15.85</v>
      </c>
    </row>
    <row r="28" customFormat="false" ht="15" hidden="false" customHeight="false" outlineLevel="0" collapsed="false">
      <c r="A28" s="2" t="n">
        <v>27</v>
      </c>
      <c r="B28" s="2" t="s">
        <v>56</v>
      </c>
      <c r="C28" s="2" t="s">
        <v>26</v>
      </c>
      <c r="D28" s="2" t="n">
        <v>2010</v>
      </c>
      <c r="E28" s="2" t="s">
        <v>22</v>
      </c>
      <c r="F28" s="2" t="s">
        <v>14</v>
      </c>
      <c r="G28" s="3" t="n">
        <v>5.57</v>
      </c>
      <c r="H28" s="3" t="n">
        <v>3.28</v>
      </c>
      <c r="I28" s="3" t="n">
        <v>5.65</v>
      </c>
      <c r="J28" s="3" t="n">
        <v>0.82</v>
      </c>
      <c r="K28" s="3" t="n">
        <v>15.32</v>
      </c>
    </row>
    <row r="29" customFormat="false" ht="15" hidden="false" customHeight="false" outlineLevel="0" collapsed="false">
      <c r="A29" s="2" t="n">
        <v>28</v>
      </c>
      <c r="B29" s="2" t="s">
        <v>57</v>
      </c>
      <c r="C29" s="2" t="s">
        <v>26</v>
      </c>
      <c r="D29" s="2" t="n">
        <v>2005</v>
      </c>
      <c r="E29" s="2" t="s">
        <v>24</v>
      </c>
      <c r="F29" s="2" t="s">
        <v>14</v>
      </c>
      <c r="G29" s="3" t="n">
        <v>3.44</v>
      </c>
      <c r="H29" s="3" t="n">
        <v>5.36</v>
      </c>
      <c r="I29" s="3" t="n">
        <v>5.32</v>
      </c>
      <c r="J29" s="3" t="n">
        <v>1.18</v>
      </c>
      <c r="K29" s="3" t="n">
        <v>15.3</v>
      </c>
    </row>
    <row r="30" customFormat="false" ht="15" hidden="false" customHeight="false" outlineLevel="0" collapsed="false">
      <c r="A30" s="2" t="n">
        <v>29</v>
      </c>
      <c r="B30" s="2" t="s">
        <v>58</v>
      </c>
      <c r="C30" s="2" t="s">
        <v>46</v>
      </c>
      <c r="D30" s="2" t="n">
        <v>2001</v>
      </c>
      <c r="E30" s="2" t="s">
        <v>18</v>
      </c>
      <c r="F30" s="2" t="s">
        <v>59</v>
      </c>
      <c r="G30" s="3" t="n">
        <v>6.85</v>
      </c>
      <c r="H30" s="3" t="n">
        <v>5.09</v>
      </c>
      <c r="I30" s="3" t="n">
        <v>1.87</v>
      </c>
      <c r="J30" s="3" t="n">
        <v>1.16</v>
      </c>
      <c r="K30" s="3" t="n">
        <v>14.98</v>
      </c>
    </row>
    <row r="31" customFormat="false" ht="15" hidden="false" customHeight="false" outlineLevel="0" collapsed="false">
      <c r="A31" s="2" t="n">
        <v>30</v>
      </c>
      <c r="B31" s="2" t="s">
        <v>60</v>
      </c>
      <c r="C31" s="2" t="s">
        <v>39</v>
      </c>
      <c r="D31" s="2" t="n">
        <v>2011</v>
      </c>
      <c r="E31" s="2" t="s">
        <v>31</v>
      </c>
      <c r="F31" s="2" t="s">
        <v>61</v>
      </c>
      <c r="G31" s="3" t="n">
        <v>9.03</v>
      </c>
      <c r="H31" s="3" t="n">
        <v>4.28</v>
      </c>
      <c r="I31" s="3" t="n">
        <v>0.13</v>
      </c>
      <c r="J31" s="3" t="n">
        <v>1.32</v>
      </c>
      <c r="K31" s="3" t="n">
        <v>14.76</v>
      </c>
    </row>
    <row r="32" customFormat="false" ht="15" hidden="false" customHeight="false" outlineLevel="0" collapsed="false">
      <c r="A32" s="2" t="n">
        <v>31</v>
      </c>
      <c r="B32" s="2" t="s">
        <v>62</v>
      </c>
      <c r="C32" s="2" t="s">
        <v>21</v>
      </c>
      <c r="D32" s="2" t="n">
        <v>1998</v>
      </c>
      <c r="E32" s="2" t="s">
        <v>22</v>
      </c>
      <c r="F32" s="2" t="s">
        <v>14</v>
      </c>
      <c r="G32" s="3" t="n">
        <v>5.89</v>
      </c>
      <c r="H32" s="3" t="n">
        <v>5.04</v>
      </c>
      <c r="I32" s="3" t="n">
        <v>3.12</v>
      </c>
      <c r="J32" s="3" t="n">
        <v>0.59</v>
      </c>
      <c r="K32" s="3" t="n">
        <v>14.64</v>
      </c>
    </row>
    <row r="33" customFormat="false" ht="15" hidden="false" customHeight="false" outlineLevel="0" collapsed="false">
      <c r="A33" s="2" t="n">
        <v>32</v>
      </c>
      <c r="B33" s="2" t="s">
        <v>63</v>
      </c>
      <c r="C33" s="2" t="s">
        <v>39</v>
      </c>
      <c r="D33" s="2" t="n">
        <v>2010</v>
      </c>
      <c r="E33" s="2" t="s">
        <v>31</v>
      </c>
      <c r="F33" s="2" t="s">
        <v>61</v>
      </c>
      <c r="G33" s="3" t="n">
        <v>9.67</v>
      </c>
      <c r="H33" s="3" t="n">
        <v>3.73</v>
      </c>
      <c r="I33" s="3" t="n">
        <v>0.11</v>
      </c>
      <c r="J33" s="3" t="n">
        <v>1.13</v>
      </c>
      <c r="K33" s="3" t="n">
        <v>14.64</v>
      </c>
    </row>
    <row r="34" customFormat="false" ht="15" hidden="false" customHeight="false" outlineLevel="0" collapsed="false">
      <c r="A34" s="2" t="n">
        <v>33</v>
      </c>
      <c r="B34" s="2" t="s">
        <v>64</v>
      </c>
      <c r="C34" s="2" t="s">
        <v>65</v>
      </c>
      <c r="D34" s="2" t="n">
        <v>2013</v>
      </c>
      <c r="E34" s="2" t="s">
        <v>22</v>
      </c>
      <c r="F34" s="2" t="s">
        <v>14</v>
      </c>
      <c r="G34" s="3" t="n">
        <v>5.17</v>
      </c>
      <c r="H34" s="3" t="n">
        <v>4.05</v>
      </c>
      <c r="I34" s="3" t="n">
        <v>4.34</v>
      </c>
      <c r="J34" s="3" t="n">
        <v>0.79</v>
      </c>
      <c r="K34" s="3" t="n">
        <v>14.35</v>
      </c>
    </row>
    <row r="35" customFormat="false" ht="15" hidden="false" customHeight="false" outlineLevel="0" collapsed="false">
      <c r="A35" s="2" t="n">
        <v>34</v>
      </c>
      <c r="B35" s="2" t="s">
        <v>66</v>
      </c>
      <c r="C35" s="2" t="s">
        <v>67</v>
      </c>
      <c r="D35" s="2" t="n">
        <v>2015</v>
      </c>
      <c r="E35" s="2" t="s">
        <v>31</v>
      </c>
      <c r="F35" s="2" t="s">
        <v>61</v>
      </c>
      <c r="G35" s="3" t="n">
        <v>5.77</v>
      </c>
      <c r="H35" s="3" t="n">
        <v>5.81</v>
      </c>
      <c r="I35" s="3" t="n">
        <v>0.35</v>
      </c>
      <c r="J35" s="3" t="n">
        <v>2.31</v>
      </c>
      <c r="K35" s="3" t="n">
        <v>14.24</v>
      </c>
    </row>
    <row r="36" customFormat="false" ht="15" hidden="false" customHeight="false" outlineLevel="0" collapsed="false">
      <c r="A36" s="2" t="n">
        <v>35</v>
      </c>
      <c r="B36" s="2" t="s">
        <v>68</v>
      </c>
      <c r="C36" s="2" t="s">
        <v>42</v>
      </c>
      <c r="D36" s="2" t="n">
        <v>2012</v>
      </c>
      <c r="E36" s="2" t="s">
        <v>31</v>
      </c>
      <c r="F36" s="2" t="s">
        <v>61</v>
      </c>
      <c r="G36" s="3" t="n">
        <v>4.99</v>
      </c>
      <c r="H36" s="3" t="n">
        <v>5.88</v>
      </c>
      <c r="I36" s="3" t="n">
        <v>0.65</v>
      </c>
      <c r="J36" s="3" t="n">
        <v>2.52</v>
      </c>
      <c r="K36" s="3" t="n">
        <v>14.03</v>
      </c>
    </row>
    <row r="37" customFormat="false" ht="15" hidden="false" customHeight="false" outlineLevel="0" collapsed="false">
      <c r="A37" s="2" t="n">
        <v>36</v>
      </c>
      <c r="B37" s="2" t="s">
        <v>68</v>
      </c>
      <c r="C37" s="2" t="s">
        <v>39</v>
      </c>
      <c r="D37" s="2" t="n">
        <v>2012</v>
      </c>
      <c r="E37" s="2" t="s">
        <v>31</v>
      </c>
      <c r="F37" s="2" t="s">
        <v>61</v>
      </c>
      <c r="G37" s="3" t="n">
        <v>8.25</v>
      </c>
      <c r="H37" s="3" t="n">
        <v>4.3</v>
      </c>
      <c r="I37" s="3" t="n">
        <v>0.07</v>
      </c>
      <c r="J37" s="3" t="n">
        <v>1.12</v>
      </c>
      <c r="K37" s="3" t="n">
        <v>13.73</v>
      </c>
    </row>
    <row r="38" customFormat="false" ht="15" hidden="false" customHeight="false" outlineLevel="0" collapsed="false">
      <c r="A38" s="2" t="n">
        <v>37</v>
      </c>
      <c r="B38" s="2" t="s">
        <v>69</v>
      </c>
      <c r="C38" s="2" t="s">
        <v>39</v>
      </c>
      <c r="D38" s="2" t="n">
        <v>2009</v>
      </c>
      <c r="E38" s="2" t="s">
        <v>31</v>
      </c>
      <c r="F38" s="2" t="s">
        <v>61</v>
      </c>
      <c r="G38" s="3" t="n">
        <v>8.52</v>
      </c>
      <c r="H38" s="3" t="n">
        <v>3.63</v>
      </c>
      <c r="I38" s="3" t="n">
        <v>0.08</v>
      </c>
      <c r="J38" s="3" t="n">
        <v>1.29</v>
      </c>
      <c r="K38" s="3" t="n">
        <v>13.51</v>
      </c>
    </row>
    <row r="39" customFormat="false" ht="15" hidden="false" customHeight="false" outlineLevel="0" collapsed="false">
      <c r="A39" s="2" t="n">
        <v>38</v>
      </c>
      <c r="B39" s="2" t="s">
        <v>60</v>
      </c>
      <c r="C39" s="2" t="s">
        <v>42</v>
      </c>
      <c r="D39" s="2" t="n">
        <v>2011</v>
      </c>
      <c r="E39" s="2" t="s">
        <v>31</v>
      </c>
      <c r="F39" s="2" t="s">
        <v>61</v>
      </c>
      <c r="G39" s="3" t="n">
        <v>5.54</v>
      </c>
      <c r="H39" s="3" t="n">
        <v>5.82</v>
      </c>
      <c r="I39" s="3" t="n">
        <v>0.49</v>
      </c>
      <c r="J39" s="3" t="n">
        <v>1.62</v>
      </c>
      <c r="K39" s="3" t="n">
        <v>13.46</v>
      </c>
    </row>
    <row r="40" customFormat="false" ht="15" hidden="false" customHeight="false" outlineLevel="0" collapsed="false">
      <c r="A40" s="2" t="n">
        <v>39</v>
      </c>
      <c r="B40" s="2" t="s">
        <v>70</v>
      </c>
      <c r="C40" s="2" t="s">
        <v>46</v>
      </c>
      <c r="D40" s="2" t="n">
        <v>2001</v>
      </c>
      <c r="E40" s="2" t="s">
        <v>43</v>
      </c>
      <c r="F40" s="2" t="s">
        <v>44</v>
      </c>
      <c r="G40" s="3" t="n">
        <v>6.99</v>
      </c>
      <c r="H40" s="3" t="n">
        <v>4.51</v>
      </c>
      <c r="I40" s="3" t="n">
        <v>0.3</v>
      </c>
      <c r="J40" s="3" t="n">
        <v>1.3</v>
      </c>
      <c r="K40" s="3" t="n">
        <v>13.1</v>
      </c>
    </row>
    <row r="41" customFormat="false" ht="15" hidden="false" customHeight="false" outlineLevel="0" collapsed="false">
      <c r="A41" s="2" t="n">
        <v>40</v>
      </c>
      <c r="B41" s="2" t="s">
        <v>71</v>
      </c>
      <c r="C41" s="2" t="s">
        <v>12</v>
      </c>
      <c r="D41" s="2" t="n">
        <v>2008</v>
      </c>
      <c r="E41" s="2" t="s">
        <v>72</v>
      </c>
      <c r="F41" s="2" t="s">
        <v>14</v>
      </c>
      <c r="G41" s="3" t="n">
        <v>6.75</v>
      </c>
      <c r="H41" s="3" t="n">
        <v>2.61</v>
      </c>
      <c r="I41" s="3" t="n">
        <v>2.66</v>
      </c>
      <c r="J41" s="3" t="n">
        <v>1.02</v>
      </c>
      <c r="K41" s="3" t="n">
        <v>13.04</v>
      </c>
    </row>
    <row r="42" customFormat="false" ht="15" hidden="false" customHeight="false" outlineLevel="0" collapsed="false">
      <c r="A42" s="2" t="n">
        <v>41</v>
      </c>
      <c r="B42" s="2" t="s">
        <v>63</v>
      </c>
      <c r="C42" s="2" t="s">
        <v>42</v>
      </c>
      <c r="D42" s="2" t="n">
        <v>2010</v>
      </c>
      <c r="E42" s="2" t="s">
        <v>31</v>
      </c>
      <c r="F42" s="2" t="s">
        <v>61</v>
      </c>
      <c r="G42" s="3" t="n">
        <v>5.98</v>
      </c>
      <c r="H42" s="3" t="n">
        <v>4.44</v>
      </c>
      <c r="I42" s="3" t="n">
        <v>0.48</v>
      </c>
      <c r="J42" s="3" t="n">
        <v>1.83</v>
      </c>
      <c r="K42" s="3" t="n">
        <v>12.73</v>
      </c>
    </row>
    <row r="43" customFormat="false" ht="15" hidden="false" customHeight="false" outlineLevel="0" collapsed="false">
      <c r="A43" s="2" t="n">
        <v>42</v>
      </c>
      <c r="B43" s="2" t="s">
        <v>73</v>
      </c>
      <c r="C43" s="2" t="s">
        <v>26</v>
      </c>
      <c r="D43" s="2" t="n">
        <v>2005</v>
      </c>
      <c r="E43" s="2" t="s">
        <v>33</v>
      </c>
      <c r="F43" s="2" t="s">
        <v>14</v>
      </c>
      <c r="G43" s="3" t="n">
        <v>2.55</v>
      </c>
      <c r="H43" s="3" t="n">
        <v>3.52</v>
      </c>
      <c r="I43" s="3" t="n">
        <v>5.33</v>
      </c>
      <c r="J43" s="3" t="n">
        <v>0.88</v>
      </c>
      <c r="K43" s="3" t="n">
        <v>12.27</v>
      </c>
    </row>
    <row r="44" customFormat="false" ht="15" hidden="false" customHeight="false" outlineLevel="0" collapsed="false">
      <c r="A44" s="2" t="n">
        <v>43</v>
      </c>
      <c r="B44" s="2" t="s">
        <v>74</v>
      </c>
      <c r="C44" s="2" t="s">
        <v>65</v>
      </c>
      <c r="D44" s="2" t="n">
        <v>2011</v>
      </c>
      <c r="E44" s="2" t="s">
        <v>18</v>
      </c>
      <c r="F44" s="2" t="s">
        <v>14</v>
      </c>
      <c r="G44" s="3" t="n">
        <v>4.74</v>
      </c>
      <c r="H44" s="3" t="n">
        <v>3.91</v>
      </c>
      <c r="I44" s="3" t="n">
        <v>2.67</v>
      </c>
      <c r="J44" s="3" t="n">
        <v>0.89</v>
      </c>
      <c r="K44" s="3" t="n">
        <v>12.21</v>
      </c>
    </row>
    <row r="45" customFormat="false" ht="15" hidden="false" customHeight="false" outlineLevel="0" collapsed="false">
      <c r="A45" s="2" t="n">
        <v>44</v>
      </c>
      <c r="B45" s="2" t="s">
        <v>75</v>
      </c>
      <c r="C45" s="2" t="s">
        <v>39</v>
      </c>
      <c r="D45" s="2" t="n">
        <v>2007</v>
      </c>
      <c r="E45" s="2" t="s">
        <v>31</v>
      </c>
      <c r="F45" s="2" t="s">
        <v>40</v>
      </c>
      <c r="G45" s="3" t="n">
        <v>7.97</v>
      </c>
      <c r="H45" s="3" t="n">
        <v>2.83</v>
      </c>
      <c r="I45" s="3" t="n">
        <v>0.13</v>
      </c>
      <c r="J45" s="3" t="n">
        <v>1.21</v>
      </c>
      <c r="K45" s="3" t="n">
        <v>12.14</v>
      </c>
    </row>
    <row r="46" customFormat="false" ht="15" hidden="false" customHeight="false" outlineLevel="0" collapsed="false">
      <c r="A46" s="2" t="n">
        <v>45</v>
      </c>
      <c r="B46" s="2" t="s">
        <v>41</v>
      </c>
      <c r="C46" s="2" t="s">
        <v>67</v>
      </c>
      <c r="D46" s="2" t="n">
        <v>2014</v>
      </c>
      <c r="E46" s="2" t="s">
        <v>43</v>
      </c>
      <c r="F46" s="2" t="s">
        <v>44</v>
      </c>
      <c r="G46" s="3" t="n">
        <v>3.8</v>
      </c>
      <c r="H46" s="3" t="n">
        <v>5.81</v>
      </c>
      <c r="I46" s="3" t="n">
        <v>0.36</v>
      </c>
      <c r="J46" s="3" t="n">
        <v>2.02</v>
      </c>
      <c r="K46" s="3" t="n">
        <v>11.98</v>
      </c>
    </row>
    <row r="47" customFormat="false" ht="15" hidden="false" customHeight="false" outlineLevel="0" collapsed="false">
      <c r="A47" s="2" t="n">
        <v>46</v>
      </c>
      <c r="B47" s="2" t="s">
        <v>76</v>
      </c>
      <c r="C47" s="2" t="s">
        <v>26</v>
      </c>
      <c r="D47" s="2" t="n">
        <v>2009</v>
      </c>
      <c r="E47" s="2" t="s">
        <v>43</v>
      </c>
      <c r="F47" s="2" t="s">
        <v>14</v>
      </c>
      <c r="G47" s="3" t="n">
        <v>4.4</v>
      </c>
      <c r="H47" s="3" t="n">
        <v>2.77</v>
      </c>
      <c r="I47" s="3" t="n">
        <v>3.96</v>
      </c>
      <c r="J47" s="3" t="n">
        <v>0.77</v>
      </c>
      <c r="K47" s="3" t="n">
        <v>11.9</v>
      </c>
    </row>
    <row r="48" customFormat="false" ht="15" hidden="false" customHeight="false" outlineLevel="0" collapsed="false">
      <c r="A48" s="2" t="n">
        <v>47</v>
      </c>
      <c r="B48" s="2" t="s">
        <v>77</v>
      </c>
      <c r="C48" s="2" t="s">
        <v>78</v>
      </c>
      <c r="D48" s="2" t="n">
        <v>1996</v>
      </c>
      <c r="E48" s="2" t="s">
        <v>2</v>
      </c>
      <c r="F48" s="2" t="s">
        <v>14</v>
      </c>
      <c r="G48" s="3" t="n">
        <v>6.91</v>
      </c>
      <c r="H48" s="3" t="n">
        <v>2.85</v>
      </c>
      <c r="I48" s="3" t="n">
        <v>1.91</v>
      </c>
      <c r="J48" s="3" t="n">
        <v>0.23</v>
      </c>
      <c r="K48" s="3" t="n">
        <v>11.89</v>
      </c>
    </row>
    <row r="49" customFormat="false" ht="15" hidden="false" customHeight="false" outlineLevel="0" collapsed="false">
      <c r="A49" s="2" t="n">
        <v>48</v>
      </c>
      <c r="B49" s="2" t="s">
        <v>79</v>
      </c>
      <c r="C49" s="2" t="s">
        <v>46</v>
      </c>
      <c r="D49" s="2" t="n">
        <v>2004</v>
      </c>
      <c r="E49" s="2" t="s">
        <v>18</v>
      </c>
      <c r="F49" s="2" t="s">
        <v>59</v>
      </c>
      <c r="G49" s="3" t="n">
        <v>3.01</v>
      </c>
      <c r="H49" s="3" t="n">
        <v>0.01</v>
      </c>
      <c r="I49" s="3" t="n">
        <v>1.1</v>
      </c>
      <c r="J49" s="3" t="n">
        <v>7.53</v>
      </c>
      <c r="K49" s="3" t="n">
        <v>11.66</v>
      </c>
    </row>
    <row r="50" customFormat="false" ht="15" hidden="false" customHeight="false" outlineLevel="0" collapsed="false">
      <c r="A50" s="2" t="n">
        <v>49</v>
      </c>
      <c r="B50" s="2" t="s">
        <v>80</v>
      </c>
      <c r="C50" s="2" t="s">
        <v>12</v>
      </c>
      <c r="D50" s="2" t="n">
        <v>2007</v>
      </c>
      <c r="E50" s="2" t="s">
        <v>2</v>
      </c>
      <c r="F50" s="2" t="s">
        <v>14</v>
      </c>
      <c r="G50" s="3" t="n">
        <v>6.16</v>
      </c>
      <c r="H50" s="3" t="n">
        <v>3.4</v>
      </c>
      <c r="I50" s="3" t="n">
        <v>1.2</v>
      </c>
      <c r="J50" s="3" t="n">
        <v>0.76</v>
      </c>
      <c r="K50" s="3" t="n">
        <v>11.52</v>
      </c>
    </row>
    <row r="51" customFormat="false" ht="15" hidden="false" customHeight="false" outlineLevel="0" collapsed="false">
      <c r="A51" s="2" t="n">
        <v>50</v>
      </c>
      <c r="B51" s="2" t="s">
        <v>81</v>
      </c>
      <c r="C51" s="2" t="s">
        <v>65</v>
      </c>
      <c r="D51" s="2" t="n">
        <v>2014</v>
      </c>
      <c r="E51" s="2" t="s">
        <v>22</v>
      </c>
      <c r="F51" s="2" t="s">
        <v>14</v>
      </c>
      <c r="G51" s="3" t="n">
        <v>4.23</v>
      </c>
      <c r="H51" s="3" t="n">
        <v>3.37</v>
      </c>
      <c r="I51" s="3" t="n">
        <v>3.08</v>
      </c>
      <c r="J51" s="3" t="n">
        <v>0.65</v>
      </c>
      <c r="K51" s="3" t="n">
        <v>11.33</v>
      </c>
    </row>
    <row r="52" customFormat="false" ht="15" hidden="false" customHeight="false" outlineLevel="0" collapsed="false">
      <c r="A52" s="2" t="n">
        <v>51</v>
      </c>
      <c r="B52" s="2" t="s">
        <v>82</v>
      </c>
      <c r="C52" s="2" t="s">
        <v>21</v>
      </c>
      <c r="D52" s="2" t="n">
        <v>1992</v>
      </c>
      <c r="E52" s="2" t="s">
        <v>83</v>
      </c>
      <c r="F52" s="2" t="s">
        <v>14</v>
      </c>
      <c r="G52" s="3" t="n">
        <v>6.16</v>
      </c>
      <c r="H52" s="3" t="n">
        <v>2.04</v>
      </c>
      <c r="I52" s="3" t="n">
        <v>2.69</v>
      </c>
      <c r="J52" s="3" t="n">
        <v>0.29</v>
      </c>
      <c r="K52" s="3" t="n">
        <v>11.18</v>
      </c>
    </row>
    <row r="53" customFormat="false" ht="15" hidden="false" customHeight="false" outlineLevel="0" collapsed="false">
      <c r="A53" s="2" t="n">
        <v>52</v>
      </c>
      <c r="B53" s="2" t="s">
        <v>84</v>
      </c>
      <c r="C53" s="2" t="s">
        <v>39</v>
      </c>
      <c r="D53" s="2" t="n">
        <v>2008</v>
      </c>
      <c r="E53" s="2" t="s">
        <v>43</v>
      </c>
      <c r="F53" s="2" t="s">
        <v>44</v>
      </c>
      <c r="G53" s="3" t="n">
        <v>6.76</v>
      </c>
      <c r="H53" s="3" t="n">
        <v>3.1</v>
      </c>
      <c r="I53" s="3" t="n">
        <v>0.14</v>
      </c>
      <c r="J53" s="3" t="n">
        <v>1.03</v>
      </c>
      <c r="K53" s="3" t="n">
        <v>11.02</v>
      </c>
    </row>
    <row r="54" customFormat="false" ht="15" hidden="false" customHeight="false" outlineLevel="0" collapsed="false">
      <c r="A54" s="2" t="n">
        <v>53</v>
      </c>
      <c r="B54" s="2" t="s">
        <v>85</v>
      </c>
      <c r="C54" s="2" t="s">
        <v>86</v>
      </c>
      <c r="D54" s="2" t="n">
        <v>1997</v>
      </c>
      <c r="E54" s="2" t="s">
        <v>18</v>
      </c>
      <c r="F54" s="2" t="s">
        <v>59</v>
      </c>
      <c r="G54" s="3" t="n">
        <v>4.02</v>
      </c>
      <c r="H54" s="3" t="n">
        <v>3.87</v>
      </c>
      <c r="I54" s="3" t="n">
        <v>2.54</v>
      </c>
      <c r="J54" s="3" t="n">
        <v>0.52</v>
      </c>
      <c r="K54" s="3" t="n">
        <v>10.95</v>
      </c>
    </row>
    <row r="55" customFormat="false" ht="15" hidden="false" customHeight="false" outlineLevel="0" collapsed="false">
      <c r="A55" s="2" t="n">
        <v>54</v>
      </c>
      <c r="B55" s="2" t="s">
        <v>87</v>
      </c>
      <c r="C55" s="2" t="s">
        <v>65</v>
      </c>
      <c r="D55" s="2" t="n">
        <v>2011</v>
      </c>
      <c r="E55" s="2" t="s">
        <v>2</v>
      </c>
      <c r="F55" s="2" t="s">
        <v>14</v>
      </c>
      <c r="G55" s="3" t="n">
        <v>4.89</v>
      </c>
      <c r="H55" s="3" t="n">
        <v>2.99</v>
      </c>
      <c r="I55" s="3" t="n">
        <v>2.13</v>
      </c>
      <c r="J55" s="3" t="n">
        <v>0.78</v>
      </c>
      <c r="K55" s="3" t="n">
        <v>10.79</v>
      </c>
    </row>
    <row r="56" customFormat="false" ht="15" hidden="false" customHeight="false" outlineLevel="0" collapsed="false">
      <c r="A56" s="2" t="n">
        <v>55</v>
      </c>
      <c r="B56" s="2" t="s">
        <v>88</v>
      </c>
      <c r="C56" s="2" t="s">
        <v>42</v>
      </c>
      <c r="D56" s="2" t="n">
        <v>2010</v>
      </c>
      <c r="E56" s="2" t="s">
        <v>18</v>
      </c>
      <c r="F56" s="2" t="s">
        <v>59</v>
      </c>
      <c r="G56" s="3" t="n">
        <v>2.96</v>
      </c>
      <c r="H56" s="3" t="n">
        <v>4.88</v>
      </c>
      <c r="I56" s="3" t="n">
        <v>0.81</v>
      </c>
      <c r="J56" s="3" t="n">
        <v>2.12</v>
      </c>
      <c r="K56" s="3" t="n">
        <v>10.77</v>
      </c>
    </row>
    <row r="57" customFormat="false" ht="15" hidden="false" customHeight="false" outlineLevel="0" collapsed="false">
      <c r="A57" s="2" t="n">
        <v>56</v>
      </c>
      <c r="B57" s="2" t="s">
        <v>69</v>
      </c>
      <c r="C57" s="2" t="s">
        <v>42</v>
      </c>
      <c r="D57" s="2" t="n">
        <v>2009</v>
      </c>
      <c r="E57" s="2" t="s">
        <v>31</v>
      </c>
      <c r="F57" s="2" t="s">
        <v>61</v>
      </c>
      <c r="G57" s="3" t="n">
        <v>4.99</v>
      </c>
      <c r="H57" s="3" t="n">
        <v>3.69</v>
      </c>
      <c r="I57" s="3" t="n">
        <v>0.38</v>
      </c>
      <c r="J57" s="3" t="n">
        <v>1.63</v>
      </c>
      <c r="K57" s="3" t="n">
        <v>10.69</v>
      </c>
    </row>
    <row r="58" customFormat="false" ht="15" hidden="false" customHeight="false" outlineLevel="0" collapsed="false">
      <c r="A58" s="2" t="n">
        <v>57</v>
      </c>
      <c r="B58" s="2" t="s">
        <v>84</v>
      </c>
      <c r="C58" s="2" t="s">
        <v>42</v>
      </c>
      <c r="D58" s="2" t="n">
        <v>2008</v>
      </c>
      <c r="E58" s="2" t="s">
        <v>43</v>
      </c>
      <c r="F58" s="2" t="s">
        <v>44</v>
      </c>
      <c r="G58" s="3" t="n">
        <v>4.76</v>
      </c>
      <c r="H58" s="3" t="n">
        <v>3.76</v>
      </c>
      <c r="I58" s="3" t="n">
        <v>0.44</v>
      </c>
      <c r="J58" s="3" t="n">
        <v>1.62</v>
      </c>
      <c r="K58" s="3" t="n">
        <v>10.57</v>
      </c>
    </row>
    <row r="59" customFormat="false" ht="15" hidden="false" customHeight="false" outlineLevel="0" collapsed="false">
      <c r="A59" s="2" t="n">
        <v>58</v>
      </c>
      <c r="B59" s="2" t="s">
        <v>89</v>
      </c>
      <c r="C59" s="2" t="s">
        <v>48</v>
      </c>
      <c r="D59" s="2" t="n">
        <v>1993</v>
      </c>
      <c r="E59" s="2" t="s">
        <v>2</v>
      </c>
      <c r="F59" s="2" t="s">
        <v>14</v>
      </c>
      <c r="G59" s="3" t="n">
        <v>5.99</v>
      </c>
      <c r="H59" s="3" t="n">
        <v>2.15</v>
      </c>
      <c r="I59" s="3" t="n">
        <v>2.12</v>
      </c>
      <c r="J59" s="3" t="n">
        <v>0.29</v>
      </c>
      <c r="K59" s="3" t="n">
        <v>10.55</v>
      </c>
    </row>
    <row r="60" customFormat="false" ht="15" hidden="false" customHeight="false" outlineLevel="0" collapsed="false">
      <c r="A60" s="2" t="n">
        <v>59</v>
      </c>
      <c r="B60" s="2" t="s">
        <v>90</v>
      </c>
      <c r="C60" s="2" t="s">
        <v>55</v>
      </c>
      <c r="D60" s="2" t="n">
        <v>2004</v>
      </c>
      <c r="E60" s="2" t="s">
        <v>22</v>
      </c>
      <c r="F60" s="2" t="s">
        <v>14</v>
      </c>
      <c r="G60" s="3" t="n">
        <v>4.34</v>
      </c>
      <c r="H60" s="3" t="n">
        <v>2.65</v>
      </c>
      <c r="I60" s="3" t="n">
        <v>3.15</v>
      </c>
      <c r="J60" s="3" t="n">
        <v>0.35</v>
      </c>
      <c r="K60" s="3" t="n">
        <v>10.49</v>
      </c>
    </row>
    <row r="61" customFormat="false" ht="15" hidden="false" customHeight="false" outlineLevel="0" collapsed="false">
      <c r="A61" s="2" t="n">
        <v>60</v>
      </c>
      <c r="B61" s="2" t="s">
        <v>77</v>
      </c>
      <c r="C61" s="2" t="s">
        <v>26</v>
      </c>
      <c r="D61" s="2" t="n">
        <v>2004</v>
      </c>
      <c r="E61" s="2" t="s">
        <v>2</v>
      </c>
      <c r="F61" s="2" t="s">
        <v>14</v>
      </c>
      <c r="G61" s="3" t="n">
        <v>5.08</v>
      </c>
      <c r="H61" s="3" t="n">
        <v>3.11</v>
      </c>
      <c r="I61" s="3" t="n">
        <v>1.25</v>
      </c>
      <c r="J61" s="3" t="n">
        <v>0.98</v>
      </c>
      <c r="K61" s="3" t="n">
        <v>10.42</v>
      </c>
    </row>
    <row r="62" customFormat="false" ht="15" hidden="false" customHeight="false" outlineLevel="0" collapsed="false">
      <c r="A62" s="2" t="n">
        <v>61</v>
      </c>
      <c r="B62" s="2" t="s">
        <v>91</v>
      </c>
      <c r="C62" s="2" t="s">
        <v>12</v>
      </c>
      <c r="D62" s="2" t="n">
        <v>2011</v>
      </c>
      <c r="E62" s="2" t="s">
        <v>28</v>
      </c>
      <c r="F62" s="2" t="s">
        <v>92</v>
      </c>
      <c r="G62" s="3" t="n">
        <v>6.05</v>
      </c>
      <c r="H62" s="3" t="n">
        <v>3.15</v>
      </c>
      <c r="I62" s="3" t="n">
        <v>0</v>
      </c>
      <c r="J62" s="3" t="n">
        <v>1.07</v>
      </c>
      <c r="K62" s="3" t="n">
        <v>10.26</v>
      </c>
    </row>
    <row r="63" customFormat="false" ht="15" hidden="false" customHeight="false" outlineLevel="0" collapsed="false">
      <c r="A63" s="2" t="n">
        <v>62</v>
      </c>
      <c r="B63" s="2" t="s">
        <v>93</v>
      </c>
      <c r="C63" s="2" t="s">
        <v>39</v>
      </c>
      <c r="D63" s="2" t="n">
        <v>2013</v>
      </c>
      <c r="E63" s="2" t="s">
        <v>31</v>
      </c>
      <c r="F63" s="2" t="s">
        <v>61</v>
      </c>
      <c r="G63" s="3" t="n">
        <v>6.72</v>
      </c>
      <c r="H63" s="3" t="n">
        <v>2.63</v>
      </c>
      <c r="I63" s="3" t="n">
        <v>0.04</v>
      </c>
      <c r="J63" s="3" t="n">
        <v>0.82</v>
      </c>
      <c r="K63" s="3" t="n">
        <v>10.21</v>
      </c>
    </row>
    <row r="64" customFormat="false" ht="15" hidden="false" customHeight="false" outlineLevel="0" collapsed="false">
      <c r="A64" s="2" t="n">
        <v>63</v>
      </c>
      <c r="B64" s="2" t="s">
        <v>94</v>
      </c>
      <c r="C64" s="2" t="s">
        <v>39</v>
      </c>
      <c r="D64" s="2" t="n">
        <v>2010</v>
      </c>
      <c r="E64" s="2" t="s">
        <v>31</v>
      </c>
      <c r="F64" s="2" t="s">
        <v>40</v>
      </c>
      <c r="G64" s="3" t="n">
        <v>7.03</v>
      </c>
      <c r="H64" s="3" t="n">
        <v>1.98</v>
      </c>
      <c r="I64" s="3" t="n">
        <v>0.08</v>
      </c>
      <c r="J64" s="3" t="n">
        <v>0.78</v>
      </c>
      <c r="K64" s="3" t="n">
        <v>9.88</v>
      </c>
    </row>
    <row r="65" customFormat="false" ht="15" hidden="false" customHeight="false" outlineLevel="0" collapsed="false">
      <c r="A65" s="2" t="n">
        <v>64</v>
      </c>
      <c r="B65" s="2" t="s">
        <v>95</v>
      </c>
      <c r="C65" s="2" t="s">
        <v>78</v>
      </c>
      <c r="D65" s="2" t="n">
        <v>1996</v>
      </c>
      <c r="E65" s="2" t="s">
        <v>18</v>
      </c>
      <c r="F65" s="2" t="s">
        <v>14</v>
      </c>
      <c r="G65" s="3" t="n">
        <v>5.55</v>
      </c>
      <c r="H65" s="3" t="n">
        <v>1.94</v>
      </c>
      <c r="I65" s="3" t="n">
        <v>2.23</v>
      </c>
      <c r="J65" s="3" t="n">
        <v>0.15</v>
      </c>
      <c r="K65" s="3" t="n">
        <v>9.87</v>
      </c>
    </row>
    <row r="66" customFormat="false" ht="15" hidden="false" customHeight="false" outlineLevel="0" collapsed="false">
      <c r="A66" s="2" t="n">
        <v>65</v>
      </c>
      <c r="B66" s="2" t="s">
        <v>96</v>
      </c>
      <c r="C66" s="2" t="s">
        <v>65</v>
      </c>
      <c r="D66" s="2" t="n">
        <v>2012</v>
      </c>
      <c r="E66" s="2" t="s">
        <v>2</v>
      </c>
      <c r="F66" s="2" t="s">
        <v>14</v>
      </c>
      <c r="G66" s="3" t="n">
        <v>3.66</v>
      </c>
      <c r="H66" s="3" t="n">
        <v>3.07</v>
      </c>
      <c r="I66" s="3" t="n">
        <v>2.47</v>
      </c>
      <c r="J66" s="3" t="n">
        <v>0.63</v>
      </c>
      <c r="K66" s="3" t="n">
        <v>9.82</v>
      </c>
    </row>
    <row r="67" customFormat="false" ht="15" hidden="false" customHeight="false" outlineLevel="0" collapsed="false">
      <c r="A67" s="2" t="n">
        <v>66</v>
      </c>
      <c r="B67" s="2" t="s">
        <v>97</v>
      </c>
      <c r="C67" s="2" t="s">
        <v>39</v>
      </c>
      <c r="D67" s="2" t="n">
        <v>2012</v>
      </c>
      <c r="E67" s="2" t="s">
        <v>31</v>
      </c>
      <c r="F67" s="2" t="s">
        <v>40</v>
      </c>
      <c r="G67" s="3" t="n">
        <v>6.63</v>
      </c>
      <c r="H67" s="3" t="n">
        <v>2.36</v>
      </c>
      <c r="I67" s="3" t="n">
        <v>0.04</v>
      </c>
      <c r="J67" s="3" t="n">
        <v>0.73</v>
      </c>
      <c r="K67" s="3" t="n">
        <v>9.76</v>
      </c>
    </row>
    <row r="68" customFormat="false" ht="15" hidden="false" customHeight="false" outlineLevel="0" collapsed="false">
      <c r="A68" s="2" t="n">
        <v>67</v>
      </c>
      <c r="B68" s="2" t="s">
        <v>98</v>
      </c>
      <c r="C68" s="2" t="s">
        <v>86</v>
      </c>
      <c r="D68" s="2" t="n">
        <v>1997</v>
      </c>
      <c r="E68" s="2" t="s">
        <v>22</v>
      </c>
      <c r="F68" s="2" t="s">
        <v>59</v>
      </c>
      <c r="G68" s="3" t="n">
        <v>3.01</v>
      </c>
      <c r="H68" s="3" t="n">
        <v>2.47</v>
      </c>
      <c r="I68" s="3" t="n">
        <v>3.28</v>
      </c>
      <c r="J68" s="3" t="n">
        <v>0.96</v>
      </c>
      <c r="K68" s="3" t="n">
        <v>9.72</v>
      </c>
    </row>
    <row r="69" customFormat="false" ht="15" hidden="false" customHeight="false" outlineLevel="0" collapsed="false">
      <c r="A69" s="2" t="n">
        <v>68</v>
      </c>
      <c r="B69" s="2" t="s">
        <v>93</v>
      </c>
      <c r="C69" s="2" t="s">
        <v>42</v>
      </c>
      <c r="D69" s="2" t="n">
        <v>2013</v>
      </c>
      <c r="E69" s="2" t="s">
        <v>31</v>
      </c>
      <c r="F69" s="2" t="s">
        <v>61</v>
      </c>
      <c r="G69" s="3" t="n">
        <v>4.09</v>
      </c>
      <c r="H69" s="3" t="n">
        <v>3.73</v>
      </c>
      <c r="I69" s="3" t="n">
        <v>0.38</v>
      </c>
      <c r="J69" s="3" t="n">
        <v>1.38</v>
      </c>
      <c r="K69" s="3" t="n">
        <v>9.59</v>
      </c>
    </row>
    <row r="70" customFormat="false" ht="15" hidden="false" customHeight="false" outlineLevel="0" collapsed="false">
      <c r="A70" s="2" t="n">
        <v>69</v>
      </c>
      <c r="B70" s="2" t="s">
        <v>99</v>
      </c>
      <c r="C70" s="2" t="s">
        <v>12</v>
      </c>
      <c r="D70" s="2" t="n">
        <v>2010</v>
      </c>
      <c r="E70" s="2" t="s">
        <v>28</v>
      </c>
      <c r="F70" s="2" t="s">
        <v>92</v>
      </c>
      <c r="G70" s="3" t="n">
        <v>5.84</v>
      </c>
      <c r="H70" s="3" t="n">
        <v>2.89</v>
      </c>
      <c r="I70" s="3" t="n">
        <v>0.01</v>
      </c>
      <c r="J70" s="3" t="n">
        <v>0.78</v>
      </c>
      <c r="K70" s="3" t="n">
        <v>9.52</v>
      </c>
    </row>
    <row r="71" customFormat="false" ht="15" hidden="false" customHeight="false" outlineLevel="0" collapsed="false">
      <c r="A71" s="2" t="n">
        <v>70</v>
      </c>
      <c r="B71" s="2" t="s">
        <v>100</v>
      </c>
      <c r="C71" s="2" t="s">
        <v>86</v>
      </c>
      <c r="D71" s="2" t="n">
        <v>1999</v>
      </c>
      <c r="E71" s="2" t="s">
        <v>18</v>
      </c>
      <c r="F71" s="2" t="s">
        <v>59</v>
      </c>
      <c r="G71" s="3" t="n">
        <v>3.88</v>
      </c>
      <c r="H71" s="3" t="n">
        <v>3.42</v>
      </c>
      <c r="I71" s="3" t="n">
        <v>1.69</v>
      </c>
      <c r="J71" s="3" t="n">
        <v>0.5</v>
      </c>
      <c r="K71" s="3" t="n">
        <v>9.49</v>
      </c>
    </row>
    <row r="72" customFormat="false" ht="15" hidden="false" customHeight="false" outlineLevel="0" collapsed="false">
      <c r="A72" s="2" t="n">
        <v>71</v>
      </c>
      <c r="B72" s="2" t="s">
        <v>101</v>
      </c>
      <c r="C72" s="2" t="s">
        <v>39</v>
      </c>
      <c r="D72" s="2" t="n">
        <v>2007</v>
      </c>
      <c r="E72" s="2" t="s">
        <v>31</v>
      </c>
      <c r="F72" s="2" t="s">
        <v>61</v>
      </c>
      <c r="G72" s="3" t="n">
        <v>5.91</v>
      </c>
      <c r="H72" s="3" t="n">
        <v>2.38</v>
      </c>
      <c r="I72" s="3" t="n">
        <v>0.13</v>
      </c>
      <c r="J72" s="3" t="n">
        <v>0.9</v>
      </c>
      <c r="K72" s="3" t="n">
        <v>9.32</v>
      </c>
    </row>
    <row r="73" customFormat="false" ht="15" hidden="false" customHeight="false" outlineLevel="0" collapsed="false">
      <c r="A73" s="2" t="n">
        <v>72</v>
      </c>
      <c r="B73" s="2" t="s">
        <v>102</v>
      </c>
      <c r="C73" s="2" t="s">
        <v>48</v>
      </c>
      <c r="D73" s="2" t="n">
        <v>1994</v>
      </c>
      <c r="E73" s="2" t="s">
        <v>2</v>
      </c>
      <c r="F73" s="2" t="s">
        <v>14</v>
      </c>
      <c r="G73" s="3" t="n">
        <v>4.36</v>
      </c>
      <c r="H73" s="3" t="n">
        <v>1.71</v>
      </c>
      <c r="I73" s="3" t="n">
        <v>3</v>
      </c>
      <c r="J73" s="3" t="n">
        <v>0.23</v>
      </c>
      <c r="K73" s="3" t="n">
        <v>9.3</v>
      </c>
    </row>
    <row r="74" customFormat="false" ht="15" hidden="false" customHeight="false" outlineLevel="0" collapsed="false">
      <c r="A74" s="2" t="n">
        <v>73</v>
      </c>
      <c r="B74" s="2" t="s">
        <v>103</v>
      </c>
      <c r="C74" s="2" t="s">
        <v>39</v>
      </c>
      <c r="D74" s="2" t="n">
        <v>2013</v>
      </c>
      <c r="E74" s="2" t="s">
        <v>28</v>
      </c>
      <c r="F74" s="2" t="s">
        <v>40</v>
      </c>
      <c r="G74" s="3" t="n">
        <v>5.58</v>
      </c>
      <c r="H74" s="3" t="n">
        <v>2.83</v>
      </c>
      <c r="I74" s="3" t="n">
        <v>0.02</v>
      </c>
      <c r="J74" s="3" t="n">
        <v>0.77</v>
      </c>
      <c r="K74" s="3" t="n">
        <v>9.2</v>
      </c>
    </row>
    <row r="75" customFormat="false" ht="15" hidden="false" customHeight="false" outlineLevel="0" collapsed="false">
      <c r="A75" s="2" t="n">
        <v>74</v>
      </c>
      <c r="B75" s="2" t="s">
        <v>104</v>
      </c>
      <c r="C75" s="2" t="s">
        <v>65</v>
      </c>
      <c r="D75" s="2" t="n">
        <v>2012</v>
      </c>
      <c r="E75" s="2" t="s">
        <v>33</v>
      </c>
      <c r="F75" s="2" t="s">
        <v>14</v>
      </c>
      <c r="G75" s="3" t="n">
        <v>2.01</v>
      </c>
      <c r="H75" s="3" t="n">
        <v>2.32</v>
      </c>
      <c r="I75" s="3" t="n">
        <v>4.36</v>
      </c>
      <c r="J75" s="3" t="n">
        <v>0.41</v>
      </c>
      <c r="K75" s="3" t="n">
        <v>9.09</v>
      </c>
    </row>
    <row r="76" customFormat="false" ht="15" hidden="false" customHeight="false" outlineLevel="0" collapsed="false">
      <c r="A76" s="2" t="n">
        <v>75</v>
      </c>
      <c r="B76" s="2" t="s">
        <v>105</v>
      </c>
      <c r="C76" s="2" t="s">
        <v>26</v>
      </c>
      <c r="D76" s="2" t="n">
        <v>2007</v>
      </c>
      <c r="E76" s="2" t="s">
        <v>28</v>
      </c>
      <c r="F76" s="2" t="s">
        <v>14</v>
      </c>
      <c r="G76" s="3" t="n">
        <v>4.46</v>
      </c>
      <c r="H76" s="3" t="n">
        <v>1.88</v>
      </c>
      <c r="I76" s="3" t="n">
        <v>1.98</v>
      </c>
      <c r="J76" s="3" t="n">
        <v>0.7</v>
      </c>
      <c r="K76" s="3" t="n">
        <v>9.02</v>
      </c>
    </row>
    <row r="77" customFormat="false" ht="15" hidden="false" customHeight="false" outlineLevel="0" collapsed="false">
      <c r="A77" s="2" t="n">
        <v>76</v>
      </c>
      <c r="B77" s="2" t="s">
        <v>106</v>
      </c>
      <c r="C77" s="2" t="s">
        <v>39</v>
      </c>
      <c r="D77" s="2" t="n">
        <v>2011</v>
      </c>
      <c r="E77" s="2" t="s">
        <v>22</v>
      </c>
      <c r="F77" s="2" t="s">
        <v>107</v>
      </c>
      <c r="G77" s="3" t="n">
        <v>5.03</v>
      </c>
      <c r="H77" s="3" t="n">
        <v>2.86</v>
      </c>
      <c r="I77" s="3" t="n">
        <v>0.1</v>
      </c>
      <c r="J77" s="3" t="n">
        <v>0.85</v>
      </c>
      <c r="K77" s="3" t="n">
        <v>8.84</v>
      </c>
    </row>
    <row r="78" customFormat="false" ht="15" hidden="false" customHeight="false" outlineLevel="0" collapsed="false">
      <c r="A78" s="2" t="n">
        <v>77</v>
      </c>
      <c r="B78" s="2" t="s">
        <v>108</v>
      </c>
      <c r="C78" s="2" t="s">
        <v>48</v>
      </c>
      <c r="D78" s="2" t="n">
        <v>1992</v>
      </c>
      <c r="E78" s="2" t="s">
        <v>18</v>
      </c>
      <c r="F78" s="2" t="s">
        <v>14</v>
      </c>
      <c r="G78" s="3" t="n">
        <v>3.54</v>
      </c>
      <c r="H78" s="3" t="n">
        <v>1.24</v>
      </c>
      <c r="I78" s="3" t="n">
        <v>3.81</v>
      </c>
      <c r="J78" s="3" t="n">
        <v>0.18</v>
      </c>
      <c r="K78" s="3" t="n">
        <v>8.76</v>
      </c>
    </row>
    <row r="79" customFormat="false" ht="15" hidden="false" customHeight="false" outlineLevel="0" collapsed="false">
      <c r="A79" s="2" t="n">
        <v>78</v>
      </c>
      <c r="B79" s="2" t="s">
        <v>109</v>
      </c>
      <c r="C79" s="2" t="s">
        <v>67</v>
      </c>
      <c r="D79" s="2" t="n">
        <v>2015</v>
      </c>
      <c r="E79" s="2" t="s">
        <v>13</v>
      </c>
      <c r="F79" s="2" t="s">
        <v>110</v>
      </c>
      <c r="G79" s="3" t="n">
        <v>1.11</v>
      </c>
      <c r="H79" s="3" t="n">
        <v>6.06</v>
      </c>
      <c r="I79" s="3" t="n">
        <v>0.06</v>
      </c>
      <c r="J79" s="3" t="n">
        <v>1.26</v>
      </c>
      <c r="K79" s="3" t="n">
        <v>8.49</v>
      </c>
    </row>
    <row r="80" customFormat="false" ht="15" hidden="false" customHeight="false" outlineLevel="0" collapsed="false">
      <c r="A80" s="2" t="n">
        <v>79</v>
      </c>
      <c r="B80" s="2" t="s">
        <v>111</v>
      </c>
      <c r="C80" s="2" t="s">
        <v>12</v>
      </c>
      <c r="D80" s="2" t="n">
        <v>2010</v>
      </c>
      <c r="E80" s="2" t="s">
        <v>28</v>
      </c>
      <c r="F80" s="2" t="s">
        <v>14</v>
      </c>
      <c r="G80" s="3" t="n">
        <v>1.79</v>
      </c>
      <c r="H80" s="3" t="n">
        <v>3.53</v>
      </c>
      <c r="I80" s="3" t="n">
        <v>2.49</v>
      </c>
      <c r="J80" s="3" t="n">
        <v>0.68</v>
      </c>
      <c r="K80" s="3" t="n">
        <v>8.49</v>
      </c>
    </row>
    <row r="81" customFormat="false" ht="15" hidden="false" customHeight="false" outlineLevel="0" collapsed="false">
      <c r="A81" s="2" t="n">
        <v>80</v>
      </c>
      <c r="B81" s="2" t="s">
        <v>112</v>
      </c>
      <c r="C81" s="2" t="s">
        <v>113</v>
      </c>
      <c r="D81" s="2" t="n">
        <v>2004</v>
      </c>
      <c r="E81" s="2" t="s">
        <v>31</v>
      </c>
      <c r="F81" s="2" t="s">
        <v>40</v>
      </c>
      <c r="G81" s="3" t="n">
        <v>6.82</v>
      </c>
      <c r="H81" s="3" t="n">
        <v>1.53</v>
      </c>
      <c r="I81" s="3" t="n">
        <v>0.05</v>
      </c>
      <c r="J81" s="3" t="n">
        <v>0.08</v>
      </c>
      <c r="K81" s="3" t="n">
        <v>8.49</v>
      </c>
    </row>
    <row r="82" customFormat="false" ht="15" hidden="false" customHeight="false" outlineLevel="0" collapsed="false">
      <c r="A82" s="2" t="n">
        <v>81</v>
      </c>
      <c r="B82" s="2" t="s">
        <v>114</v>
      </c>
      <c r="C82" s="2" t="s">
        <v>12</v>
      </c>
      <c r="D82" s="2" t="n">
        <v>2007</v>
      </c>
      <c r="E82" s="2" t="s">
        <v>28</v>
      </c>
      <c r="F82" s="2" t="s">
        <v>14</v>
      </c>
      <c r="G82" s="3" t="n">
        <v>3.81</v>
      </c>
      <c r="H82" s="3" t="n">
        <v>2.3</v>
      </c>
      <c r="I82" s="3" t="n">
        <v>1.58</v>
      </c>
      <c r="J82" s="3" t="n">
        <v>0.73</v>
      </c>
      <c r="K82" s="3" t="n">
        <v>8.42</v>
      </c>
    </row>
    <row r="83" customFormat="false" ht="15" hidden="false" customHeight="false" outlineLevel="0" collapsed="false">
      <c r="A83" s="2" t="n">
        <v>82</v>
      </c>
      <c r="B83" s="2" t="s">
        <v>115</v>
      </c>
      <c r="C83" s="2" t="s">
        <v>26</v>
      </c>
      <c r="D83" s="2" t="n">
        <v>2012</v>
      </c>
      <c r="E83" s="2" t="s">
        <v>22</v>
      </c>
      <c r="F83" s="2" t="s">
        <v>14</v>
      </c>
      <c r="G83" s="3" t="n">
        <v>2.91</v>
      </c>
      <c r="H83" s="3" t="n">
        <v>1.86</v>
      </c>
      <c r="I83" s="3" t="n">
        <v>3.14</v>
      </c>
      <c r="J83" s="3" t="n">
        <v>0.43</v>
      </c>
      <c r="K83" s="3" t="n">
        <v>8.33</v>
      </c>
    </row>
    <row r="84" customFormat="false" ht="15" hidden="false" customHeight="false" outlineLevel="0" collapsed="false">
      <c r="A84" s="2" t="n">
        <v>83</v>
      </c>
      <c r="B84" s="2" t="s">
        <v>116</v>
      </c>
      <c r="C84" s="2" t="s">
        <v>42</v>
      </c>
      <c r="D84" s="2" t="n">
        <v>2012</v>
      </c>
      <c r="E84" s="2" t="s">
        <v>43</v>
      </c>
      <c r="F84" s="2" t="s">
        <v>110</v>
      </c>
      <c r="G84" s="3" t="n">
        <v>1.06</v>
      </c>
      <c r="H84" s="3" t="n">
        <v>5.05</v>
      </c>
      <c r="I84" s="3" t="n">
        <v>0.13</v>
      </c>
      <c r="J84" s="3" t="n">
        <v>2.01</v>
      </c>
      <c r="K84" s="3" t="n">
        <v>8.24</v>
      </c>
    </row>
    <row r="85" customFormat="false" ht="15" hidden="false" customHeight="false" outlineLevel="0" collapsed="false">
      <c r="A85" s="2" t="n">
        <v>84</v>
      </c>
      <c r="B85" s="2" t="s">
        <v>117</v>
      </c>
      <c r="C85" s="2" t="s">
        <v>118</v>
      </c>
      <c r="D85" s="2" t="n">
        <v>2009</v>
      </c>
      <c r="E85" s="2" t="s">
        <v>33</v>
      </c>
      <c r="F85" s="2" t="s">
        <v>110</v>
      </c>
      <c r="G85" s="3" t="n">
        <v>0.98</v>
      </c>
      <c r="H85" s="3" t="n">
        <v>6.42</v>
      </c>
      <c r="I85" s="3" t="n">
        <v>0</v>
      </c>
      <c r="J85" s="3" t="n">
        <v>0.71</v>
      </c>
      <c r="K85" s="3" t="n">
        <v>8.11</v>
      </c>
    </row>
    <row r="86" customFormat="false" ht="15" hidden="false" customHeight="false" outlineLevel="0" collapsed="false">
      <c r="A86" s="2" t="n">
        <v>85</v>
      </c>
      <c r="B86" s="2" t="s">
        <v>119</v>
      </c>
      <c r="C86" s="2" t="s">
        <v>78</v>
      </c>
      <c r="D86" s="2" t="n">
        <v>1997</v>
      </c>
      <c r="E86" s="2" t="s">
        <v>31</v>
      </c>
      <c r="F86" s="2" t="s">
        <v>14</v>
      </c>
      <c r="G86" s="3" t="n">
        <v>5.8</v>
      </c>
      <c r="H86" s="3" t="n">
        <v>2.01</v>
      </c>
      <c r="I86" s="3" t="n">
        <v>0.13</v>
      </c>
      <c r="J86" s="3" t="n">
        <v>0.15</v>
      </c>
      <c r="K86" s="3" t="n">
        <v>8.09</v>
      </c>
    </row>
    <row r="87" customFormat="false" ht="15" hidden="false" customHeight="false" outlineLevel="0" collapsed="false">
      <c r="A87" s="2" t="n">
        <v>86</v>
      </c>
      <c r="B87" s="2" t="s">
        <v>120</v>
      </c>
      <c r="C87" s="2" t="s">
        <v>12</v>
      </c>
      <c r="D87" s="2" t="n">
        <v>2007</v>
      </c>
      <c r="E87" s="2" t="s">
        <v>13</v>
      </c>
      <c r="F87" s="2" t="s">
        <v>121</v>
      </c>
      <c r="G87" s="3" t="n">
        <v>2.58</v>
      </c>
      <c r="H87" s="3" t="n">
        <v>3.9</v>
      </c>
      <c r="I87" s="3" t="n">
        <v>0.66</v>
      </c>
      <c r="J87" s="3" t="n">
        <v>0.91</v>
      </c>
      <c r="K87" s="3" t="n">
        <v>8.06</v>
      </c>
    </row>
    <row r="88" customFormat="false" ht="15" hidden="false" customHeight="false" outlineLevel="0" collapsed="false">
      <c r="A88" s="2" t="n">
        <v>87</v>
      </c>
      <c r="B88" s="2" t="s">
        <v>122</v>
      </c>
      <c r="C88" s="2" t="s">
        <v>46</v>
      </c>
      <c r="D88" s="2" t="n">
        <v>2001</v>
      </c>
      <c r="E88" s="2" t="s">
        <v>22</v>
      </c>
      <c r="F88" s="2" t="s">
        <v>59</v>
      </c>
      <c r="G88" s="3" t="n">
        <v>2.91</v>
      </c>
      <c r="H88" s="3" t="n">
        <v>2.07</v>
      </c>
      <c r="I88" s="3" t="n">
        <v>2.73</v>
      </c>
      <c r="J88" s="3" t="n">
        <v>0.33</v>
      </c>
      <c r="K88" s="3" t="n">
        <v>8.05</v>
      </c>
    </row>
    <row r="89" customFormat="false" ht="15" hidden="false" customHeight="false" outlineLevel="0" collapsed="false">
      <c r="A89" s="2" t="n">
        <v>88</v>
      </c>
      <c r="B89" s="2" t="s">
        <v>123</v>
      </c>
      <c r="C89" s="2" t="s">
        <v>86</v>
      </c>
      <c r="D89" s="2" t="n">
        <v>1999</v>
      </c>
      <c r="E89" s="2" t="s">
        <v>22</v>
      </c>
      <c r="F89" s="2" t="s">
        <v>124</v>
      </c>
      <c r="G89" s="3" t="n">
        <v>2.28</v>
      </c>
      <c r="H89" s="3" t="n">
        <v>1.72</v>
      </c>
      <c r="I89" s="3" t="n">
        <v>3.63</v>
      </c>
      <c r="J89" s="3" t="n">
        <v>0.23</v>
      </c>
      <c r="K89" s="3" t="n">
        <v>7.86</v>
      </c>
    </row>
    <row r="90" customFormat="false" ht="15" hidden="false" customHeight="false" outlineLevel="0" collapsed="false">
      <c r="A90" s="2" t="n">
        <v>89</v>
      </c>
      <c r="B90" s="2" t="s">
        <v>125</v>
      </c>
      <c r="C90" s="2" t="s">
        <v>26</v>
      </c>
      <c r="D90" s="2" t="n">
        <v>2008</v>
      </c>
      <c r="E90" s="2" t="s">
        <v>22</v>
      </c>
      <c r="F90" s="2" t="s">
        <v>14</v>
      </c>
      <c r="G90" s="3" t="n">
        <v>2.82</v>
      </c>
      <c r="H90" s="3" t="n">
        <v>1.78</v>
      </c>
      <c r="I90" s="3" t="n">
        <v>2.69</v>
      </c>
      <c r="J90" s="3" t="n">
        <v>0.55</v>
      </c>
      <c r="K90" s="3" t="n">
        <v>7.84</v>
      </c>
    </row>
    <row r="91" customFormat="false" ht="15" hidden="false" customHeight="false" outlineLevel="0" collapsed="false">
      <c r="A91" s="2" t="n">
        <v>90</v>
      </c>
      <c r="B91" s="2" t="s">
        <v>126</v>
      </c>
      <c r="C91" s="2" t="s">
        <v>127</v>
      </c>
      <c r="D91" s="2" t="n">
        <v>1982</v>
      </c>
      <c r="E91" s="2" t="s">
        <v>24</v>
      </c>
      <c r="F91" s="2" t="s">
        <v>128</v>
      </c>
      <c r="G91" s="3" t="n">
        <v>7.28</v>
      </c>
      <c r="H91" s="3" t="n">
        <v>0.45</v>
      </c>
      <c r="I91" s="3" t="n">
        <v>0</v>
      </c>
      <c r="J91" s="3" t="n">
        <v>0.08</v>
      </c>
      <c r="K91" s="3" t="n">
        <v>7.81</v>
      </c>
    </row>
    <row r="92" customFormat="false" ht="15" hidden="false" customHeight="false" outlineLevel="0" collapsed="false">
      <c r="A92" s="2" t="n">
        <v>91</v>
      </c>
      <c r="B92" s="2" t="s">
        <v>129</v>
      </c>
      <c r="C92" s="2" t="s">
        <v>130</v>
      </c>
      <c r="D92" s="2" t="n">
        <v>2005</v>
      </c>
      <c r="E92" s="2" t="s">
        <v>43</v>
      </c>
      <c r="F92" s="2" t="s">
        <v>44</v>
      </c>
      <c r="G92" s="3" t="n">
        <v>2.9</v>
      </c>
      <c r="H92" s="3" t="n">
        <v>2.83</v>
      </c>
      <c r="I92" s="3" t="n">
        <v>0.24</v>
      </c>
      <c r="J92" s="3" t="n">
        <v>1.75</v>
      </c>
      <c r="K92" s="3" t="n">
        <v>7.72</v>
      </c>
    </row>
    <row r="93" customFormat="false" ht="15" hidden="false" customHeight="false" outlineLevel="0" collapsed="false">
      <c r="A93" s="2" t="n">
        <v>92</v>
      </c>
      <c r="B93" s="2" t="s">
        <v>131</v>
      </c>
      <c r="C93" s="2" t="s">
        <v>12</v>
      </c>
      <c r="D93" s="2" t="n">
        <v>2010</v>
      </c>
      <c r="E93" s="2" t="s">
        <v>2</v>
      </c>
      <c r="F93" s="2" t="s">
        <v>14</v>
      </c>
      <c r="G93" s="3" t="n">
        <v>3.66</v>
      </c>
      <c r="H93" s="3" t="n">
        <v>2.42</v>
      </c>
      <c r="I93" s="3" t="n">
        <v>0.98</v>
      </c>
      <c r="J93" s="3" t="n">
        <v>0.64</v>
      </c>
      <c r="K93" s="3" t="n">
        <v>7.69</v>
      </c>
    </row>
    <row r="94" customFormat="false" ht="15" hidden="false" customHeight="false" outlineLevel="0" collapsed="false">
      <c r="A94" s="2" t="n">
        <v>93</v>
      </c>
      <c r="B94" s="2" t="s">
        <v>132</v>
      </c>
      <c r="C94" s="2" t="s">
        <v>67</v>
      </c>
      <c r="D94" s="2" t="n">
        <v>2015</v>
      </c>
      <c r="E94" s="2" t="s">
        <v>31</v>
      </c>
      <c r="F94" s="2" t="s">
        <v>110</v>
      </c>
      <c r="G94" s="3" t="n">
        <v>2.93</v>
      </c>
      <c r="H94" s="3" t="n">
        <v>3.29</v>
      </c>
      <c r="I94" s="3" t="n">
        <v>0.22</v>
      </c>
      <c r="J94" s="3" t="n">
        <v>1.23</v>
      </c>
      <c r="K94" s="3" t="n">
        <v>7.67</v>
      </c>
    </row>
    <row r="95" customFormat="false" ht="15" hidden="false" customHeight="false" outlineLevel="0" collapsed="false">
      <c r="A95" s="2" t="n">
        <v>94</v>
      </c>
      <c r="B95" s="2" t="s">
        <v>133</v>
      </c>
      <c r="C95" s="2" t="s">
        <v>67</v>
      </c>
      <c r="D95" s="2" t="n">
        <v>2014</v>
      </c>
      <c r="E95" s="2" t="s">
        <v>31</v>
      </c>
      <c r="F95" s="2" t="s">
        <v>61</v>
      </c>
      <c r="G95" s="3" t="n">
        <v>2.8</v>
      </c>
      <c r="H95" s="3" t="n">
        <v>3.3</v>
      </c>
      <c r="I95" s="3" t="n">
        <v>0.14</v>
      </c>
      <c r="J95" s="3" t="n">
        <v>1.37</v>
      </c>
      <c r="K95" s="3" t="n">
        <v>7.6</v>
      </c>
    </row>
    <row r="96" customFormat="false" ht="15" hidden="false" customHeight="false" outlineLevel="0" collapsed="false">
      <c r="A96" s="2" t="n">
        <v>95</v>
      </c>
      <c r="B96" s="2" t="s">
        <v>134</v>
      </c>
      <c r="C96" s="2" t="s">
        <v>78</v>
      </c>
      <c r="D96" s="2" t="n">
        <v>1998</v>
      </c>
      <c r="E96" s="2" t="s">
        <v>43</v>
      </c>
      <c r="F96" s="2" t="s">
        <v>14</v>
      </c>
      <c r="G96" s="3" t="n">
        <v>4.1</v>
      </c>
      <c r="H96" s="3" t="n">
        <v>1.89</v>
      </c>
      <c r="I96" s="3" t="n">
        <v>1.45</v>
      </c>
      <c r="J96" s="3" t="n">
        <v>0.16</v>
      </c>
      <c r="K96" s="3" t="n">
        <v>7.6</v>
      </c>
    </row>
    <row r="97" customFormat="false" ht="15" hidden="false" customHeight="false" outlineLevel="0" collapsed="false">
      <c r="A97" s="2" t="n">
        <v>96</v>
      </c>
      <c r="B97" s="2" t="s">
        <v>135</v>
      </c>
      <c r="C97" s="2" t="s">
        <v>86</v>
      </c>
      <c r="D97" s="2" t="n">
        <v>1997</v>
      </c>
      <c r="E97" s="2" t="s">
        <v>2</v>
      </c>
      <c r="F97" s="2" t="s">
        <v>59</v>
      </c>
      <c r="G97" s="3" t="n">
        <v>3.78</v>
      </c>
      <c r="H97" s="3" t="n">
        <v>2.17</v>
      </c>
      <c r="I97" s="3" t="n">
        <v>1.31</v>
      </c>
      <c r="J97" s="3" t="n">
        <v>0.31</v>
      </c>
      <c r="K97" s="3" t="n">
        <v>7.58</v>
      </c>
    </row>
    <row r="98" customFormat="false" ht="15" hidden="false" customHeight="false" outlineLevel="0" collapsed="false">
      <c r="A98" s="2" t="n">
        <v>97</v>
      </c>
      <c r="B98" s="2" t="s">
        <v>136</v>
      </c>
      <c r="C98" s="2" t="s">
        <v>16</v>
      </c>
      <c r="D98" s="2" t="n">
        <v>1988</v>
      </c>
      <c r="E98" s="2" t="s">
        <v>2</v>
      </c>
      <c r="F98" s="2" t="s">
        <v>14</v>
      </c>
      <c r="G98" s="3" t="n">
        <v>5.39</v>
      </c>
      <c r="H98" s="3" t="n">
        <v>1.18</v>
      </c>
      <c r="I98" s="3" t="n">
        <v>0.7</v>
      </c>
      <c r="J98" s="3" t="n">
        <v>0.19</v>
      </c>
      <c r="K98" s="3" t="n">
        <v>7.46</v>
      </c>
    </row>
    <row r="99" customFormat="false" ht="15" hidden="false" customHeight="false" outlineLevel="0" collapsed="false">
      <c r="A99" s="2" t="n">
        <v>98</v>
      </c>
      <c r="B99" s="2" t="s">
        <v>137</v>
      </c>
      <c r="C99" s="2" t="s">
        <v>65</v>
      </c>
      <c r="D99" s="2" t="n">
        <v>2014</v>
      </c>
      <c r="E99" s="2" t="s">
        <v>72</v>
      </c>
      <c r="F99" s="2" t="s">
        <v>14</v>
      </c>
      <c r="G99" s="3" t="n">
        <v>3.24</v>
      </c>
      <c r="H99" s="3" t="n">
        <v>1.35</v>
      </c>
      <c r="I99" s="3" t="n">
        <v>2.42</v>
      </c>
      <c r="J99" s="3" t="n">
        <v>0.43</v>
      </c>
      <c r="K99" s="3" t="n">
        <v>7.45</v>
      </c>
    </row>
    <row r="100" customFormat="false" ht="15" hidden="false" customHeight="false" outlineLevel="0" collapsed="false">
      <c r="A100" s="2" t="n">
        <v>99</v>
      </c>
      <c r="B100" s="2" t="s">
        <v>138</v>
      </c>
      <c r="C100" s="2" t="s">
        <v>39</v>
      </c>
      <c r="D100" s="2" t="n">
        <v>2008</v>
      </c>
      <c r="E100" s="2" t="s">
        <v>31</v>
      </c>
      <c r="F100" s="2" t="s">
        <v>61</v>
      </c>
      <c r="G100" s="3" t="n">
        <v>4.79</v>
      </c>
      <c r="H100" s="3" t="n">
        <v>1.9</v>
      </c>
      <c r="I100" s="3" t="n">
        <v>0</v>
      </c>
      <c r="J100" s="3" t="n">
        <v>0.69</v>
      </c>
      <c r="K100" s="3" t="n">
        <v>7.37</v>
      </c>
    </row>
    <row r="101" customFormat="false" ht="15" hidden="false" customHeight="false" outlineLevel="0" collapsed="false">
      <c r="A101" s="2" t="n">
        <v>100</v>
      </c>
      <c r="B101" s="2" t="s">
        <v>139</v>
      </c>
      <c r="C101" s="2" t="s">
        <v>39</v>
      </c>
      <c r="D101" s="2" t="n">
        <v>2011</v>
      </c>
      <c r="E101" s="2" t="s">
        <v>31</v>
      </c>
      <c r="F101" s="2" t="s">
        <v>110</v>
      </c>
      <c r="G101" s="3" t="n">
        <v>4.46</v>
      </c>
      <c r="H101" s="3" t="n">
        <v>2.13</v>
      </c>
      <c r="I101" s="3" t="n">
        <v>0.06</v>
      </c>
      <c r="J101" s="3" t="n">
        <v>0.69</v>
      </c>
      <c r="K101" s="3" t="n">
        <v>7.34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</cols>
  <sheetData>
    <row r="2" customFormat="false" ht="19.7" hidden="false" customHeight="false" outlineLevel="0" collapsed="false">
      <c r="B2" s="4" t="s">
        <v>140</v>
      </c>
    </row>
    <row r="3" customFormat="false" ht="15" hidden="false" customHeight="false" outlineLevel="0" collapsed="false">
      <c r="B3" s="5" t="s">
        <v>141</v>
      </c>
    </row>
    <row r="5" customFormat="false" ht="15" hidden="false" customHeight="false" outlineLevel="0" collapsed="false">
      <c r="B5" s="6" t="s">
        <v>142</v>
      </c>
      <c r="C5" s="7"/>
      <c r="D5" s="7"/>
      <c r="E5" s="7"/>
    </row>
    <row r="6" customFormat="false" ht="15" hidden="false" customHeight="false" outlineLevel="0" collapsed="false">
      <c r="B6" s="8" t="s">
        <v>143</v>
      </c>
      <c r="D6" s="9" t="n">
        <f aca="false">COUNTA(Dataset!A2:A101)</f>
        <v>100</v>
      </c>
    </row>
    <row r="7" customFormat="false" ht="15" hidden="false" customHeight="false" outlineLevel="0" collapsed="false">
      <c r="B7" s="8" t="s">
        <v>144</v>
      </c>
      <c r="D7" s="9" t="n">
        <f aca="false">11</f>
        <v>11</v>
      </c>
    </row>
    <row r="8" customFormat="false" ht="15" hidden="false" customHeight="false" outlineLevel="0" collapsed="false">
      <c r="B8" s="8" t="s">
        <v>145</v>
      </c>
      <c r="D8" s="9" t="n">
        <f aca="false">SUMPRODUCT((Dataset!A2:K101="")*1)</f>
        <v>0</v>
      </c>
    </row>
    <row r="9" customFormat="false" ht="15" hidden="false" customHeight="false" outlineLevel="0" collapsed="false">
      <c r="B9" s="8" t="s">
        <v>146</v>
      </c>
      <c r="D9" s="9" t="n">
        <f aca="false">SUMPRODUCT((COUNTIF(Dataset!B2:B101,Dataset!B2:B101)&gt;1)*1)</f>
        <v>17</v>
      </c>
    </row>
    <row r="10" customFormat="false" ht="15" hidden="false" customHeight="false" outlineLevel="0" collapsed="false">
      <c r="B10" s="8" t="s">
        <v>147</v>
      </c>
      <c r="D10" s="9" t="n">
        <f aca="false">MIN(Dataset!D2:D101)</f>
        <v>1982</v>
      </c>
    </row>
    <row r="11" customFormat="false" ht="15" hidden="false" customHeight="false" outlineLevel="0" collapsed="false">
      <c r="B11" s="8" t="s">
        <v>148</v>
      </c>
      <c r="D11" s="9" t="n">
        <f aca="false">MAX(Dataset!D2:D101)</f>
        <v>2015</v>
      </c>
    </row>
    <row r="13" customFormat="false" ht="15" hidden="false" customHeight="false" outlineLevel="0" collapsed="false">
      <c r="B13" s="6" t="s">
        <v>149</v>
      </c>
      <c r="C13" s="7"/>
      <c r="D13" s="7"/>
      <c r="E13" s="7"/>
    </row>
    <row r="14" customFormat="false" ht="15" hidden="false" customHeight="false" outlineLevel="0" collapsed="false">
      <c r="B14" s="8" t="s">
        <v>6</v>
      </c>
      <c r="D14" s="10" t="n">
        <f aca="false">SUM(Dataset!G2:G101)</f>
        <v>704.99</v>
      </c>
    </row>
    <row r="15" customFormat="false" ht="15" hidden="false" customHeight="false" outlineLevel="0" collapsed="false">
      <c r="B15" s="8" t="s">
        <v>7</v>
      </c>
      <c r="D15" s="10" t="n">
        <f aca="false">SUM(Dataset!H2:H101)</f>
        <v>420.66</v>
      </c>
    </row>
    <row r="16" customFormat="false" ht="15" hidden="false" customHeight="false" outlineLevel="0" collapsed="false">
      <c r="B16" s="8" t="s">
        <v>8</v>
      </c>
      <c r="D16" s="10" t="n">
        <f aca="false">SUM(Dataset!I2:I101)</f>
        <v>204.62</v>
      </c>
    </row>
    <row r="17" customFormat="false" ht="15" hidden="false" customHeight="false" outlineLevel="0" collapsed="false">
      <c r="B17" s="8" t="s">
        <v>9</v>
      </c>
      <c r="D17" s="10" t="n">
        <f aca="false">SUM(Dataset!J2:J101)</f>
        <v>131.77</v>
      </c>
    </row>
    <row r="18" customFormat="false" ht="15" hidden="false" customHeight="false" outlineLevel="0" collapsed="false">
      <c r="B18" s="8" t="s">
        <v>10</v>
      </c>
      <c r="D18" s="10" t="n">
        <f aca="false">SUM(Dataset!K2:K101)</f>
        <v>1461.98</v>
      </c>
    </row>
    <row r="20" customFormat="false" ht="15" hidden="false" customHeight="false" outlineLevel="0" collapsed="false">
      <c r="B20" s="8" t="s">
        <v>150</v>
      </c>
      <c r="D20" s="10" t="n">
        <f aca="false">AVERAGE(Dataset!K2:K101)</f>
        <v>14.6198</v>
      </c>
    </row>
    <row r="21" customFormat="false" ht="15" hidden="false" customHeight="false" outlineLevel="0" collapsed="false">
      <c r="B21" s="8" t="s">
        <v>151</v>
      </c>
      <c r="D21" s="10" t="n">
        <f aca="false">MAX(Dataset!K2:K101)</f>
        <v>82.74</v>
      </c>
    </row>
    <row r="22" customFormat="false" ht="15" hidden="false" customHeight="false" outlineLevel="0" collapsed="false">
      <c r="B22" s="8" t="s">
        <v>152</v>
      </c>
      <c r="D22" s="10" t="n">
        <f aca="false">MIN(Dataset!K2:K101)</f>
        <v>7.34</v>
      </c>
    </row>
    <row r="24" customFormat="false" ht="15" hidden="false" customHeight="false" outlineLevel="0" collapsed="false">
      <c r="B24" s="6" t="s">
        <v>153</v>
      </c>
      <c r="C24" s="7"/>
      <c r="D24" s="7"/>
      <c r="E24" s="7"/>
    </row>
    <row r="25" customFormat="false" ht="15" hidden="false" customHeight="false" outlineLevel="0" collapsed="false">
      <c r="B25" s="11" t="s">
        <v>0</v>
      </c>
      <c r="C25" s="11" t="s">
        <v>1</v>
      </c>
      <c r="D25" s="11" t="s">
        <v>2</v>
      </c>
      <c r="E25" s="11" t="s">
        <v>10</v>
      </c>
    </row>
    <row r="26" customFormat="false" ht="15" hidden="false" customHeight="false" outlineLevel="0" collapsed="false">
      <c r="B26" s="2" t="n">
        <f aca="false">INDEX(Dataset!A2:A101,MATCH(LARGE(Dataset!K2:K101,1),Dataset!K2:K101,0))</f>
        <v>1</v>
      </c>
      <c r="C26" s="2" t="str">
        <f aca="false">INDEX(Dataset!B2:B101,MATCH(LARGE(Dataset!K2:K101,1),Dataset!K2:K101,0))</f>
        <v>Wii Sports</v>
      </c>
      <c r="D26" s="2" t="str">
        <f aca="false">INDEX(Dataset!C2:C101,MATCH(LARGE(Dataset!K2:K101,1),Dataset!K2:K101,0))</f>
        <v>Wii</v>
      </c>
      <c r="E26" s="12" t="n">
        <f aca="false">LARGE(Dataset!K2:K101,1)</f>
        <v>82.74</v>
      </c>
    </row>
    <row r="27" customFormat="false" ht="15" hidden="false" customHeight="false" outlineLevel="0" collapsed="false">
      <c r="B27" s="2" t="n">
        <f aca="false">INDEX(Dataset!A2:A101,MATCH(LARGE(Dataset!K2:K101,2),Dataset!K2:K101,0))</f>
        <v>2</v>
      </c>
      <c r="C27" s="2" t="str">
        <f aca="false">INDEX(Dataset!B2:B101,MATCH(LARGE(Dataset!K2:K101,2),Dataset!K2:K101,0))</f>
        <v>Super Mario Bros.</v>
      </c>
      <c r="D27" s="2" t="str">
        <f aca="false">INDEX(Dataset!C2:C101,MATCH(LARGE(Dataset!K2:K101,2),Dataset!K2:K101,0))</f>
        <v>NES</v>
      </c>
      <c r="E27" s="12" t="n">
        <f aca="false">LARGE(Dataset!K2:K101,2)</f>
        <v>40.24</v>
      </c>
    </row>
    <row r="28" customFormat="false" ht="15" hidden="false" customHeight="false" outlineLevel="0" collapsed="false">
      <c r="B28" s="2" t="n">
        <f aca="false">INDEX(Dataset!A2:A101,MATCH(LARGE(Dataset!K2:K101,3),Dataset!K2:K101,0))</f>
        <v>3</v>
      </c>
      <c r="C28" s="2" t="str">
        <f aca="false">INDEX(Dataset!B2:B101,MATCH(LARGE(Dataset!K2:K101,3),Dataset!K2:K101,0))</f>
        <v>Mario Kart Wii</v>
      </c>
      <c r="D28" s="2" t="str">
        <f aca="false">INDEX(Dataset!C2:C101,MATCH(LARGE(Dataset!K2:K101,3),Dataset!K2:K101,0))</f>
        <v>Wii</v>
      </c>
      <c r="E28" s="12" t="n">
        <f aca="false">LARGE(Dataset!K2:K101,3)</f>
        <v>35.82</v>
      </c>
    </row>
    <row r="29" customFormat="false" ht="15" hidden="false" customHeight="false" outlineLevel="0" collapsed="false">
      <c r="B29" s="2" t="n">
        <f aca="false">INDEX(Dataset!A2:A101,MATCH(LARGE(Dataset!K2:K101,4),Dataset!K2:K101,0))</f>
        <v>4</v>
      </c>
      <c r="C29" s="2" t="str">
        <f aca="false">INDEX(Dataset!B2:B101,MATCH(LARGE(Dataset!K2:K101,4),Dataset!K2:K101,0))</f>
        <v>Wii Sports Resort</v>
      </c>
      <c r="D29" s="2" t="str">
        <f aca="false">INDEX(Dataset!C2:C101,MATCH(LARGE(Dataset!K2:K101,4),Dataset!K2:K101,0))</f>
        <v>Wii</v>
      </c>
      <c r="E29" s="12" t="n">
        <f aca="false">LARGE(Dataset!K2:K101,4)</f>
        <v>33</v>
      </c>
    </row>
    <row r="30" customFormat="false" ht="15" hidden="false" customHeight="false" outlineLevel="0" collapsed="false">
      <c r="B30" s="2" t="n">
        <f aca="false">INDEX(Dataset!A2:A101,MATCH(LARGE(Dataset!K2:K101,5),Dataset!K2:K101,0))</f>
        <v>5</v>
      </c>
      <c r="C30" s="2" t="str">
        <f aca="false">INDEX(Dataset!B2:B101,MATCH(LARGE(Dataset!K2:K101,5),Dataset!K2:K101,0))</f>
        <v>Pokemon Red/Pokemon Blue</v>
      </c>
      <c r="D30" s="2" t="str">
        <f aca="false">INDEX(Dataset!C2:C101,MATCH(LARGE(Dataset!K2:K101,5),Dataset!K2:K101,0))</f>
        <v>GB</v>
      </c>
      <c r="E30" s="12" t="n">
        <f aca="false">LARGE(Dataset!K2:K101,5)</f>
        <v>31.37</v>
      </c>
    </row>
    <row r="33" customFormat="false" ht="15" hidden="false" customHeight="false" outlineLevel="0" collapsed="false">
      <c r="B33" s="6" t="s">
        <v>154</v>
      </c>
      <c r="C33" s="7"/>
      <c r="D33" s="7"/>
      <c r="E33" s="7"/>
    </row>
    <row r="34" customFormat="false" ht="15" hidden="false" customHeight="false" outlineLevel="0" collapsed="false">
      <c r="B34" s="11" t="s">
        <v>4</v>
      </c>
      <c r="C34" s="11" t="s">
        <v>155</v>
      </c>
      <c r="D34" s="11" t="s">
        <v>156</v>
      </c>
    </row>
    <row r="35" customFormat="false" ht="15" hidden="false" customHeight="false" outlineLevel="0" collapsed="false">
      <c r="B35" s="2" t="s">
        <v>31</v>
      </c>
      <c r="C35" s="2" t="n">
        <f aca="false">COUNTIF(Dataset!E2:E101,B35)</f>
        <v>22</v>
      </c>
      <c r="D35" s="12" t="n">
        <f aca="false">SUMIF(Dataset!E2:E101,B35,Dataset!K2:K101)</f>
        <v>257.56</v>
      </c>
    </row>
    <row r="36" customFormat="false" ht="15" hidden="false" customHeight="false" outlineLevel="0" collapsed="false">
      <c r="B36" s="2" t="s">
        <v>2</v>
      </c>
      <c r="C36" s="2" t="n">
        <f aca="false">COUNTIF(Dataset!E2:E101,B36)</f>
        <v>16</v>
      </c>
      <c r="D36" s="12" t="n">
        <f aca="false">SUMIF(Dataset!E2:E101,B36,Dataset!K2:K101)</f>
        <v>251.92</v>
      </c>
    </row>
    <row r="37" customFormat="false" ht="15" hidden="false" customHeight="false" outlineLevel="0" collapsed="false">
      <c r="B37" s="2" t="s">
        <v>22</v>
      </c>
      <c r="C37" s="2" t="n">
        <f aca="false">COUNTIF(Dataset!E2:E101,B37)</f>
        <v>15</v>
      </c>
      <c r="D37" s="12" t="n">
        <f aca="false">SUMIF(Dataset!E2:E101,B37,Dataset!K2:K101)</f>
        <v>205.45</v>
      </c>
    </row>
    <row r="38" customFormat="false" ht="15" hidden="false" customHeight="false" outlineLevel="0" collapsed="false">
      <c r="B38" s="2" t="s">
        <v>43</v>
      </c>
      <c r="C38" s="2" t="n">
        <f aca="false">COUNTIF(Dataset!E2:E101,B38)</f>
        <v>12</v>
      </c>
      <c r="D38" s="12" t="n">
        <f aca="false">SUMIF(Dataset!E2:E101,B38,Dataset!K2:K101)</f>
        <v>156.87</v>
      </c>
    </row>
    <row r="39" customFormat="false" ht="15" hidden="false" customHeight="false" outlineLevel="0" collapsed="false">
      <c r="B39" s="2" t="s">
        <v>18</v>
      </c>
      <c r="C39" s="2" t="n">
        <f aca="false">COUNTIF(Dataset!E2:E101,B39)</f>
        <v>10</v>
      </c>
      <c r="D39" s="12" t="n">
        <f aca="false">SUMIF(Dataset!E2:E101,B39,Dataset!K2:K101)</f>
        <v>147.93</v>
      </c>
    </row>
    <row r="40" customFormat="false" ht="15" hidden="false" customHeight="false" outlineLevel="0" collapsed="false">
      <c r="B40" s="2" t="s">
        <v>28</v>
      </c>
      <c r="C40" s="2" t="n">
        <f aca="false">COUNTIF(Dataset!E2:E101,B40)</f>
        <v>9</v>
      </c>
      <c r="D40" s="12" t="n">
        <f aca="false">SUMIF(Dataset!E2:E101,B40,Dataset!K2:K101)</f>
        <v>125.97</v>
      </c>
    </row>
    <row r="41" customFormat="false" ht="15" hidden="false" customHeight="false" outlineLevel="0" collapsed="false">
      <c r="B41" s="2" t="s">
        <v>13</v>
      </c>
      <c r="C41" s="2" t="n">
        <f aca="false">COUNTIF(Dataset!E2:E101,B41)</f>
        <v>6</v>
      </c>
      <c r="D41" s="12" t="n">
        <f aca="false">SUMIF(Dataset!E2:E101,B41,Dataset!K2:K101)</f>
        <v>177.01</v>
      </c>
    </row>
    <row r="42" customFormat="false" ht="15" hidden="false" customHeight="false" outlineLevel="0" collapsed="false">
      <c r="B42" s="2" t="s">
        <v>33</v>
      </c>
      <c r="C42" s="2" t="n">
        <f aca="false">COUNTIF(Dataset!E2:E101,B42)</f>
        <v>4</v>
      </c>
      <c r="D42" s="12" t="n">
        <f aca="false">SUMIF(Dataset!E2:E101,B42,Dataset!K2:K101)</f>
        <v>54.23</v>
      </c>
    </row>
    <row r="43" customFormat="false" ht="15" hidden="false" customHeight="false" outlineLevel="0" collapsed="false">
      <c r="B43" s="2" t="s">
        <v>24</v>
      </c>
      <c r="C43" s="2" t="n">
        <f aca="false">COUNTIF(Dataset!E2:E101,B43)</f>
        <v>3</v>
      </c>
      <c r="D43" s="12" t="n">
        <f aca="false">SUMIF(Dataset!E2:E101,B43,Dataset!K2:K101)</f>
        <v>53.37</v>
      </c>
    </row>
    <row r="44" customFormat="false" ht="15" hidden="false" customHeight="false" outlineLevel="0" collapsed="false">
      <c r="B44" s="2" t="s">
        <v>72</v>
      </c>
      <c r="C44" s="2" t="n">
        <f aca="false">COUNTIF(Dataset!E2:E101,B44)</f>
        <v>2</v>
      </c>
      <c r="D44" s="12" t="n">
        <f aca="false">SUMIF(Dataset!E2:E101,B44,Dataset!K2:K101)</f>
        <v>20.49</v>
      </c>
    </row>
    <row r="45" customFormat="false" ht="15" hidden="false" customHeight="false" outlineLevel="0" collapsed="false">
      <c r="B45" s="2" t="s">
        <v>83</v>
      </c>
      <c r="C45" s="2" t="n">
        <f aca="false">COUNTIF(Dataset!E2:E101,B45)</f>
        <v>1</v>
      </c>
      <c r="D45" s="12" t="n">
        <f aca="false">SUMIF(Dataset!E2:E101,B45,Dataset!K2:K101)</f>
        <v>11.18</v>
      </c>
    </row>
    <row r="48" customFormat="false" ht="15" hidden="false" customHeight="false" outlineLevel="0" collapsed="false">
      <c r="B48" s="6" t="s">
        <v>157</v>
      </c>
      <c r="C48" s="7"/>
      <c r="D48" s="7"/>
      <c r="E48" s="7"/>
    </row>
    <row r="49" customFormat="false" ht="15" hidden="false" customHeight="false" outlineLevel="0" collapsed="false">
      <c r="B49" s="11" t="s">
        <v>2</v>
      </c>
      <c r="C49" s="11" t="s">
        <v>155</v>
      </c>
      <c r="D49" s="11" t="s">
        <v>156</v>
      </c>
    </row>
    <row r="50" customFormat="false" ht="15" hidden="false" customHeight="false" outlineLevel="0" collapsed="false">
      <c r="B50" s="2" t="s">
        <v>39</v>
      </c>
      <c r="C50" s="2" t="n">
        <f aca="false">COUNTIF(Dataset!C2:C101,B50)</f>
        <v>16</v>
      </c>
      <c r="D50" s="12" t="n">
        <f aca="false">SUMIF(Dataset!C2:C101,B50,Dataset!K2:K101)</f>
        <v>189.92</v>
      </c>
    </row>
    <row r="51" customFormat="false" ht="15" hidden="false" customHeight="false" outlineLevel="0" collapsed="false">
      <c r="B51" s="2" t="s">
        <v>12</v>
      </c>
      <c r="C51" s="2" t="n">
        <f aca="false">COUNTIF(Dataset!C2:C101,B51)</f>
        <v>15</v>
      </c>
      <c r="D51" s="12" t="n">
        <f aca="false">SUMIF(Dataset!C2:C101,B51,Dataset!K2:K101)</f>
        <v>330.92</v>
      </c>
    </row>
    <row r="52" customFormat="false" ht="15" hidden="false" customHeight="false" outlineLevel="0" collapsed="false">
      <c r="B52" s="2" t="s">
        <v>26</v>
      </c>
      <c r="C52" s="2" t="n">
        <f aca="false">COUNTIF(Dataset!C2:C101,B52)</f>
        <v>13</v>
      </c>
      <c r="D52" s="12" t="n">
        <f aca="false">SUMIF(Dataset!C2:C101,B52,Dataset!K2:K101)</f>
        <v>207.17</v>
      </c>
    </row>
    <row r="53" customFormat="false" ht="15" hidden="false" customHeight="false" outlineLevel="0" collapsed="false">
      <c r="B53" s="2" t="s">
        <v>42</v>
      </c>
      <c r="C53" s="2" t="n">
        <f aca="false">COUNTIF(Dataset!C2:C101,B53)</f>
        <v>9</v>
      </c>
      <c r="D53" s="12" t="n">
        <f aca="false">SUMIF(Dataset!C2:C101,B53,Dataset!K2:K101)</f>
        <v>111.48</v>
      </c>
    </row>
    <row r="54" customFormat="false" ht="15" hidden="false" customHeight="false" outlineLevel="0" collapsed="false">
      <c r="B54" s="2" t="s">
        <v>65</v>
      </c>
      <c r="C54" s="2" t="n">
        <f aca="false">COUNTIF(Dataset!C2:C101,B54)</f>
        <v>7</v>
      </c>
      <c r="D54" s="12" t="n">
        <f aca="false">SUMIF(Dataset!C2:C101,B54,Dataset!K2:K101)</f>
        <v>75.04</v>
      </c>
    </row>
    <row r="55" customFormat="false" ht="15" hidden="false" customHeight="false" outlineLevel="0" collapsed="false">
      <c r="B55" s="2" t="s">
        <v>21</v>
      </c>
      <c r="C55" s="2" t="n">
        <f aca="false">COUNTIF(Dataset!C2:C101,B55)</f>
        <v>6</v>
      </c>
      <c r="D55" s="12" t="n">
        <f aca="false">SUMIF(Dataset!C2:C101,B55,Dataset!K2:K101)</f>
        <v>128.69</v>
      </c>
    </row>
    <row r="56" customFormat="false" ht="15" hidden="false" customHeight="false" outlineLevel="0" collapsed="false">
      <c r="B56" s="2" t="s">
        <v>46</v>
      </c>
      <c r="C56" s="2" t="n">
        <f aca="false">COUNTIF(Dataset!C2:C101,B56)</f>
        <v>6</v>
      </c>
      <c r="D56" s="12" t="n">
        <f aca="false">SUMIF(Dataset!C2:C101,B56,Dataset!K2:K101)</f>
        <v>84.75</v>
      </c>
    </row>
    <row r="57" customFormat="false" ht="15" hidden="false" customHeight="false" outlineLevel="0" collapsed="false">
      <c r="B57" s="2" t="s">
        <v>67</v>
      </c>
      <c r="C57" s="2" t="n">
        <f aca="false">COUNTIF(Dataset!C2:C101,B57)</f>
        <v>5</v>
      </c>
      <c r="D57" s="12" t="n">
        <f aca="false">SUMIF(Dataset!C2:C101,B57,Dataset!K2:K101)</f>
        <v>49.98</v>
      </c>
    </row>
    <row r="58" customFormat="false" ht="15" hidden="false" customHeight="false" outlineLevel="0" collapsed="false">
      <c r="B58" s="2" t="s">
        <v>86</v>
      </c>
      <c r="C58" s="2" t="n">
        <f aca="false">COUNTIF(Dataset!C2:C101,B58)</f>
        <v>5</v>
      </c>
      <c r="D58" s="12" t="n">
        <f aca="false">SUMIF(Dataset!C2:C101,B58,Dataset!K2:K101)</f>
        <v>45.6</v>
      </c>
    </row>
    <row r="59" customFormat="false" ht="15" hidden="false" customHeight="false" outlineLevel="0" collapsed="false">
      <c r="B59" s="2" t="s">
        <v>16</v>
      </c>
      <c r="C59" s="2" t="n">
        <f aca="false">COUNTIF(Dataset!C2:C101,B59)</f>
        <v>4</v>
      </c>
      <c r="D59" s="12" t="n">
        <f aca="false">SUMIF(Dataset!C2:C101,B59,Dataset!K2:K101)</f>
        <v>93.29</v>
      </c>
    </row>
    <row r="60" customFormat="false" ht="15" hidden="false" customHeight="false" outlineLevel="0" collapsed="false">
      <c r="B60" s="2" t="s">
        <v>48</v>
      </c>
      <c r="C60" s="2" t="n">
        <f aca="false">COUNTIF(Dataset!C2:C101,B60)</f>
        <v>4</v>
      </c>
      <c r="D60" s="12" t="n">
        <f aca="false">SUMIF(Dataset!C2:C101,B60,Dataset!K2:K101)</f>
        <v>49.22</v>
      </c>
    </row>
    <row r="61" customFormat="false" ht="15" hidden="false" customHeight="false" outlineLevel="0" collapsed="false">
      <c r="B61" s="2" t="s">
        <v>78</v>
      </c>
      <c r="C61" s="2" t="n">
        <f aca="false">COUNTIF(Dataset!C2:C101,B61)</f>
        <v>4</v>
      </c>
      <c r="D61" s="12" t="n">
        <f aca="false">SUMIF(Dataset!C2:C101,B61,Dataset!K2:K101)</f>
        <v>37.45</v>
      </c>
    </row>
    <row r="62" customFormat="false" ht="15" hidden="false" customHeight="false" outlineLevel="0" collapsed="false">
      <c r="B62" s="2" t="s">
        <v>55</v>
      </c>
      <c r="C62" s="2" t="n">
        <f aca="false">COUNTIF(Dataset!C2:C101,B62)</f>
        <v>2</v>
      </c>
      <c r="D62" s="12" t="n">
        <f aca="false">SUMIF(Dataset!C2:C101,B62,Dataset!K2:K101)</f>
        <v>26.34</v>
      </c>
    </row>
    <row r="63" customFormat="false" ht="15" hidden="false" customHeight="false" outlineLevel="0" collapsed="false">
      <c r="B63" s="2" t="s">
        <v>113</v>
      </c>
      <c r="C63" s="2" t="n">
        <f aca="false">COUNTIF(Dataset!C2:C101,B63)</f>
        <v>1</v>
      </c>
      <c r="D63" s="12" t="n">
        <f aca="false">SUMIF(Dataset!C2:C101,B63,Dataset!K2:K101)</f>
        <v>8.49</v>
      </c>
    </row>
    <row r="64" customFormat="false" ht="15" hidden="false" customHeight="false" outlineLevel="0" collapsed="false">
      <c r="B64" s="2" t="s">
        <v>118</v>
      </c>
      <c r="C64" s="2" t="n">
        <f aca="false">COUNTIF(Dataset!C2:C101,B64)</f>
        <v>1</v>
      </c>
      <c r="D64" s="12" t="n">
        <f aca="false">SUMIF(Dataset!C2:C101,B64,Dataset!K2:K101)</f>
        <v>8.11</v>
      </c>
    </row>
    <row r="65" customFormat="false" ht="15" hidden="false" customHeight="false" outlineLevel="0" collapsed="false">
      <c r="B65" s="2" t="s">
        <v>127</v>
      </c>
      <c r="C65" s="2" t="n">
        <f aca="false">COUNTIF(Dataset!C2:C101,B65)</f>
        <v>1</v>
      </c>
      <c r="D65" s="12" t="n">
        <f aca="false">SUMIF(Dataset!C2:C101,B65,Dataset!K2:K101)</f>
        <v>7.81</v>
      </c>
    </row>
    <row r="66" customFormat="false" ht="15" hidden="false" customHeight="false" outlineLevel="0" collapsed="false">
      <c r="B66" s="2" t="s">
        <v>130</v>
      </c>
      <c r="C66" s="2" t="n">
        <f aca="false">COUNTIF(Dataset!C2:C101,B66)</f>
        <v>1</v>
      </c>
      <c r="D66" s="12" t="n">
        <f aca="false">SUMIF(Dataset!C2:C101,B66,Dataset!K2:K101)</f>
        <v>7.72</v>
      </c>
    </row>
    <row r="69" customFormat="false" ht="15" hidden="false" customHeight="false" outlineLevel="0" collapsed="false">
      <c r="B69" s="6" t="s">
        <v>158</v>
      </c>
      <c r="C69" s="7"/>
      <c r="D69" s="7"/>
      <c r="E69" s="7"/>
    </row>
    <row r="70" customFormat="false" ht="15" hidden="false" customHeight="false" outlineLevel="0" collapsed="false">
      <c r="B70" s="11" t="s">
        <v>5</v>
      </c>
      <c r="C70" s="11" t="s">
        <v>155</v>
      </c>
      <c r="D70" s="11" t="s">
        <v>156</v>
      </c>
    </row>
    <row r="71" customFormat="false" ht="15" hidden="false" customHeight="false" outlineLevel="0" collapsed="false">
      <c r="B71" s="2" t="s">
        <v>14</v>
      </c>
      <c r="C71" s="2" t="n">
        <f aca="false">COUNTIF(Dataset!F2:F101,B71)</f>
        <v>52</v>
      </c>
      <c r="D71" s="12" t="n">
        <f aca="false">SUMIF(Dataset!F2:F101,B71,Dataset!K2:K101)</f>
        <v>920.28</v>
      </c>
    </row>
    <row r="72" customFormat="false" ht="15" hidden="false" customHeight="false" outlineLevel="0" collapsed="false">
      <c r="B72" s="2" t="s">
        <v>61</v>
      </c>
      <c r="C72" s="2" t="n">
        <f aca="false">COUNTIF(Dataset!F2:F101,B72)</f>
        <v>14</v>
      </c>
      <c r="D72" s="12" t="n">
        <f aca="false">SUMIF(Dataset!F2:F101,B72,Dataset!K2:K101)</f>
        <v>165.88</v>
      </c>
    </row>
    <row r="73" customFormat="false" ht="15" hidden="false" customHeight="false" outlineLevel="0" collapsed="false">
      <c r="B73" s="2" t="s">
        <v>44</v>
      </c>
      <c r="C73" s="2" t="n">
        <f aca="false">COUNTIF(Dataset!F2:F101,B73)</f>
        <v>9</v>
      </c>
      <c r="D73" s="12" t="n">
        <f aca="false">SUMIF(Dataset!F2:F101,B73,Dataset!K2:K101)</f>
        <v>129.13</v>
      </c>
    </row>
    <row r="74" customFormat="false" ht="15" hidden="false" customHeight="false" outlineLevel="0" collapsed="false">
      <c r="B74" s="2" t="s">
        <v>59</v>
      </c>
      <c r="C74" s="2" t="n">
        <f aca="false">COUNTIF(Dataset!F2:F101,B74)</f>
        <v>8</v>
      </c>
      <c r="D74" s="12" t="n">
        <f aca="false">SUMIF(Dataset!F2:F101,B74,Dataset!K2:K101)</f>
        <v>83.2</v>
      </c>
    </row>
    <row r="75" customFormat="false" ht="15" hidden="false" customHeight="false" outlineLevel="0" collapsed="false">
      <c r="B75" s="2" t="s">
        <v>40</v>
      </c>
      <c r="C75" s="2" t="n">
        <f aca="false">COUNTIF(Dataset!F2:F101,B75)</f>
        <v>6</v>
      </c>
      <c r="D75" s="12" t="n">
        <f aca="false">SUMIF(Dataset!F2:F101,B75,Dataset!K2:K101)</f>
        <v>71.29</v>
      </c>
    </row>
    <row r="76" customFormat="false" ht="15" hidden="false" customHeight="false" outlineLevel="0" collapsed="false">
      <c r="B76" s="2" t="s">
        <v>110</v>
      </c>
      <c r="C76" s="2" t="n">
        <f aca="false">COUNTIF(Dataset!F2:F101,B76)</f>
        <v>5</v>
      </c>
      <c r="D76" s="12" t="n">
        <f aca="false">SUMIF(Dataset!F2:F101,B76,Dataset!K2:K101)</f>
        <v>39.85</v>
      </c>
    </row>
    <row r="77" customFormat="false" ht="15" hidden="false" customHeight="false" outlineLevel="0" collapsed="false">
      <c r="B77" s="2" t="s">
        <v>92</v>
      </c>
      <c r="C77" s="2" t="n">
        <f aca="false">COUNTIF(Dataset!F2:F101,B77)</f>
        <v>2</v>
      </c>
      <c r="D77" s="12" t="n">
        <f aca="false">SUMIF(Dataset!F2:F101,B77,Dataset!K2:K101)</f>
        <v>19.78</v>
      </c>
    </row>
    <row r="78" customFormat="false" ht="15" hidden="false" customHeight="false" outlineLevel="0" collapsed="false">
      <c r="B78" s="2" t="s">
        <v>107</v>
      </c>
      <c r="C78" s="2" t="n">
        <f aca="false">COUNTIF(Dataset!F2:F101,B78)</f>
        <v>1</v>
      </c>
      <c r="D78" s="12" t="n">
        <f aca="false">SUMIF(Dataset!F2:F101,B78,Dataset!K2:K101)</f>
        <v>8.84</v>
      </c>
    </row>
    <row r="79" customFormat="false" ht="15" hidden="false" customHeight="false" outlineLevel="0" collapsed="false">
      <c r="B79" s="2" t="s">
        <v>121</v>
      </c>
      <c r="C79" s="2" t="n">
        <f aca="false">COUNTIF(Dataset!F2:F101,B79)</f>
        <v>1</v>
      </c>
      <c r="D79" s="12" t="n">
        <f aca="false">SUMIF(Dataset!F2:F101,B79,Dataset!K2:K101)</f>
        <v>8.06</v>
      </c>
    </row>
    <row r="80" customFormat="false" ht="15" hidden="false" customHeight="false" outlineLevel="0" collapsed="false">
      <c r="B80" s="2" t="s">
        <v>124</v>
      </c>
      <c r="C80" s="2" t="n">
        <f aca="false">COUNTIF(Dataset!F2:F101,B80)</f>
        <v>1</v>
      </c>
      <c r="D80" s="12" t="n">
        <f aca="false">SUMIF(Dataset!F2:F101,B80,Dataset!K2:K101)</f>
        <v>7.86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2026-08-03T02:52:01Z</dcterms:created>
  <dc:creator>openpyxl</dc:creator>
  <dc:description/>
  <dc:language>en-US</dc:language>
  <cp:lastModifiedBy/>
  <dcterms:modified xsi:type="dcterms:W3CDTF">2026-08-03T02:52:04Z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